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Bionic_hand\My_Bionic_hand_project\Hardware\Assembly\"/>
    </mc:Choice>
  </mc:AlternateContent>
  <xr:revisionPtr revIDLastSave="0" documentId="13_ncr:1_{8F7EB070-5903-49A6-A48B-C846859F2BE0}" xr6:coauthVersionLast="47" xr6:coauthVersionMax="47" xr10:uidLastSave="{00000000-0000-0000-0000-000000000000}"/>
  <bookViews>
    <workbookView xWindow="14295" yWindow="0" windowWidth="14610" windowHeight="15585" xr2:uid="{AD7F9805-AA71-4FA9-80C9-D9559D35F51B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5" i="1" l="1"/>
  <c r="E3" i="1"/>
  <c r="E41" i="1"/>
  <c r="E40" i="1"/>
  <c r="E39" i="1"/>
  <c r="E38" i="1"/>
  <c r="E37" i="1"/>
  <c r="E36" i="1"/>
  <c r="E35" i="1"/>
  <c r="E34" i="1"/>
  <c r="E33" i="1"/>
  <c r="E32" i="1"/>
  <c r="E31" i="1"/>
  <c r="E30" i="1"/>
  <c r="E29" i="1"/>
  <c r="E28" i="1"/>
  <c r="E27" i="1"/>
  <c r="C27" i="1"/>
  <c r="E26" i="1"/>
  <c r="E25" i="1"/>
  <c r="E24" i="1"/>
  <c r="E23" i="1"/>
  <c r="C22" i="1"/>
  <c r="E22" i="1" s="1"/>
  <c r="E21" i="1"/>
  <c r="E20" i="1"/>
  <c r="E19" i="1"/>
  <c r="E18" i="1"/>
  <c r="E17" i="1"/>
  <c r="E16" i="1"/>
  <c r="E15" i="1"/>
  <c r="E14" i="1"/>
  <c r="E13" i="1"/>
  <c r="E12" i="1"/>
  <c r="E10" i="1"/>
  <c r="E7" i="1"/>
  <c r="E6" i="1"/>
  <c r="E5" i="1"/>
  <c r="E4" i="1"/>
  <c r="E2" i="1"/>
</calcChain>
</file>

<file path=xl/sharedStrings.xml><?xml version="1.0" encoding="utf-8"?>
<sst xmlns="http://schemas.openxmlformats.org/spreadsheetml/2006/main" count="45" uniqueCount="45">
  <si>
    <t>Finger Distal/Medial and Thumb Proximal/Distal Return Spring (PIP)</t>
  </si>
  <si>
    <t>Finger Proximal/MCP Return Spring (MP)</t>
  </si>
  <si>
    <t>Thumb CMC/MCP Return Spring (CMC)</t>
  </si>
  <si>
    <t>Finger Pull Cable</t>
  </si>
  <si>
    <t>Pinky Pull Cable</t>
  </si>
  <si>
    <t>Finger Coupling Cable</t>
  </si>
  <si>
    <t>Thumb CMC Flex Cable</t>
  </si>
  <si>
    <t>Thumb Pull Cable</t>
  </si>
  <si>
    <t>Thumb Coupling Cable</t>
  </si>
  <si>
    <t>2x5x2.5 bearing</t>
  </si>
  <si>
    <t>1x10 Pin</t>
  </si>
  <si>
    <t>obsolete (2x10 Pin)</t>
  </si>
  <si>
    <t>2x14 Pin</t>
  </si>
  <si>
    <t>2x20 Pin</t>
  </si>
  <si>
    <t>UNDERSIZED 2x10 Pin</t>
  </si>
  <si>
    <t>UNDERSIZED 2x20 Pin</t>
  </si>
  <si>
    <t>UNDERSIZED 2x30 Pin</t>
  </si>
  <si>
    <t>M2x6 Flanged Torx Self Tapping Screw</t>
  </si>
  <si>
    <t>M2x10 Countersunk Torx Self Tapping Screw</t>
  </si>
  <si>
    <t>M3x10 Rounded Torx Self Tapping Screw</t>
  </si>
  <si>
    <t>M3x5.7 Heat set insert</t>
  </si>
  <si>
    <t>Feetech HLS3606M Servo Motor</t>
  </si>
  <si>
    <t>Servo Motor Mount Plate</t>
  </si>
  <si>
    <t>Servo Motor Spline Screw M2.3x5</t>
  </si>
  <si>
    <t>Servo Motor Plate Screw M2x4</t>
  </si>
  <si>
    <t>Connection Board and Cable</t>
  </si>
  <si>
    <t>TTLinker Mini UART Signal Conversion Board</t>
  </si>
  <si>
    <t>ESP32-S3</t>
  </si>
  <si>
    <t>SICHIRAY sEMG sets</t>
  </si>
  <si>
    <t>Total(RMB)</t>
  </si>
  <si>
    <t>Power adapter</t>
  </si>
  <si>
    <t>A set of servos</t>
  </si>
  <si>
    <t>Tether</t>
  </si>
  <si>
    <t>Wear-resistant and cut-resistant polymer rope &lt;=1.2mm</t>
  </si>
  <si>
    <t>Disposable electrode patch</t>
  </si>
  <si>
    <t>Breadboard(400)</t>
  </si>
  <si>
    <t>Micro-USB Data cable</t>
  </si>
  <si>
    <t>DuPont wire bundle</t>
  </si>
  <si>
    <t>ESP32 Development board</t>
  </si>
  <si>
    <t>AD8232 Sensor kit</t>
  </si>
  <si>
    <t>Number</t>
  </si>
  <si>
    <t>unit price(RMB)</t>
  </si>
  <si>
    <t>Total</t>
  </si>
  <si>
    <t>Item Name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</si>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</sst>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rgb="FF000000"/>
      <name val="Arial"/>
      <family val="2"/>
    </font>
    <font>
      <sz val="11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FFFFFF"/>
      <name val="Arial"/>
      <family val="2"/>
    </font>
    <font>
      <sz val="10"/>
      <color rgb="FFCC0000"/>
      <name val="Arial"/>
      <family val="2"/>
    </font>
    <font>
      <b/>
      <sz val="10"/>
      <color rgb="FFFFFFFF"/>
      <name val="Arial"/>
      <family val="2"/>
    </font>
    <font>
      <i/>
      <sz val="10"/>
      <color rgb="FF808080"/>
      <name val="Arial"/>
      <family val="2"/>
    </font>
    <font>
      <sz val="10"/>
      <color rgb="FF006600"/>
      <name val="Arial"/>
      <family val="2"/>
    </font>
    <font>
      <b/>
      <sz val="24"/>
      <color rgb="FF000000"/>
      <name val="Arial"/>
      <family val="2"/>
    </font>
    <font>
      <sz val="18"/>
      <color rgb="FF000000"/>
      <name val="Arial"/>
      <family val="2"/>
    </font>
    <font>
      <sz val="12"/>
      <color rgb="FF000000"/>
      <name val="Arial"/>
      <family val="2"/>
    </font>
    <font>
      <u/>
      <sz val="10"/>
      <color rgb="FF0000EE"/>
      <name val="Arial"/>
      <family val="2"/>
    </font>
    <font>
      <sz val="10"/>
      <color rgb="FF996600"/>
      <name val="Arial"/>
      <family val="2"/>
    </font>
    <font>
      <sz val="10"/>
      <color rgb="FF333333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808080"/>
        <bgColor rgb="FF808080"/>
      </patternFill>
    </fill>
    <fill>
      <patternFill patternType="solid">
        <fgColor rgb="FFDDDDDD"/>
        <bgColor rgb="FFDDDDDD"/>
      </patternFill>
    </fill>
    <fill>
      <patternFill patternType="solid">
        <fgColor rgb="FFFFCCCC"/>
        <bgColor rgb="FFFFCCCC"/>
      </patternFill>
    </fill>
    <fill>
      <patternFill patternType="solid">
        <fgColor rgb="FFCC0000"/>
        <bgColor rgb="FFCC0000"/>
      </patternFill>
    </fill>
    <fill>
      <patternFill patternType="solid">
        <fgColor rgb="FFCCFFCC"/>
        <bgColor rgb="FFCCFFCC"/>
      </patternFill>
    </fill>
    <fill>
      <patternFill patternType="solid">
        <fgColor rgb="FFFFFFCC"/>
        <bgColor rgb="FFFFFFCC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8">
    <xf numFmtId="0" fontId="0" fillId="0" borderId="0"/>
    <xf numFmtId="0" fontId="9" fillId="0" borderId="0" applyNumberFormat="0" applyBorder="0" applyProtection="0"/>
    <xf numFmtId="0" fontId="10" fillId="0" borderId="0" applyNumberFormat="0" applyBorder="0" applyProtection="0"/>
    <xf numFmtId="0" fontId="7" fillId="7" borderId="0" applyNumberFormat="0" applyBorder="0" applyProtection="0"/>
    <xf numFmtId="0" fontId="4" fillId="5" borderId="0" applyNumberFormat="0" applyBorder="0" applyProtection="0"/>
    <xf numFmtId="0" fontId="12" fillId="8" borderId="0" applyNumberFormat="0" applyBorder="0" applyProtection="0"/>
    <xf numFmtId="0" fontId="13" fillId="8" borderId="1" applyNumberFormat="0" applyProtection="0"/>
    <xf numFmtId="0" fontId="2" fillId="0" borderId="0" applyNumberFormat="0" applyBorder="0" applyProtection="0"/>
    <xf numFmtId="0" fontId="3" fillId="2" borderId="0" applyNumberFormat="0" applyBorder="0" applyProtection="0"/>
    <xf numFmtId="0" fontId="3" fillId="3" borderId="0" applyNumberFormat="0" applyBorder="0" applyProtection="0"/>
    <xf numFmtId="0" fontId="2" fillId="4" borderId="0" applyNumberFormat="0" applyBorder="0" applyProtection="0"/>
    <xf numFmtId="0" fontId="5" fillId="6" borderId="0" applyNumberFormat="0" applyBorder="0" applyProtection="0"/>
    <xf numFmtId="0" fontId="6" fillId="0" borderId="0" applyNumberFormat="0" applyBorder="0" applyProtection="0"/>
    <xf numFmtId="0" fontId="8" fillId="0" borderId="0" applyNumberFormat="0" applyBorder="0" applyProtection="0"/>
    <xf numFmtId="0" fontId="11" fillId="0" borderId="0" applyNumberFormat="0" applyBorder="0" applyProtection="0"/>
    <xf numFmtId="0" fontId="1" fillId="0" borderId="0" applyNumberFormat="0" applyFont="0" applyBorder="0" applyProtection="0"/>
    <xf numFmtId="0" fontId="1" fillId="0" borderId="0" applyNumberFormat="0" applyFont="0" applyBorder="0" applyProtection="0"/>
    <xf numFmtId="0" fontId="4" fillId="0" borderId="0" applyNumberFormat="0" applyBorder="0" applyProtection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</cellXfs>
  <cellStyles count="18">
    <cellStyle name="Accent" xfId="7" xr:uid="{72230192-DDDD-4147-9412-F9F06B620881}"/>
    <cellStyle name="Accent 1" xfId="8" xr:uid="{4E861771-C293-403B-909A-D41539CE2759}"/>
    <cellStyle name="Accent 2" xfId="9" xr:uid="{AC858B67-FB8C-4BB7-A91A-EEF0C9E885F4}"/>
    <cellStyle name="Accent 3" xfId="10" xr:uid="{4750ADC8-B238-4205-A238-CBD29B49D15B}"/>
    <cellStyle name="Bad" xfId="4" builtinId="27" customBuiltin="1"/>
    <cellStyle name="Error" xfId="11" xr:uid="{321E138F-A93F-450F-9F1D-1058ABF54092}"/>
    <cellStyle name="Footnote" xfId="12" xr:uid="{9C2C06F5-57DA-4D25-9203-77C0F0F501E2}"/>
    <cellStyle name="Good" xfId="3" builtinId="26" customBuiltin="1"/>
    <cellStyle name="Heading" xfId="13" xr:uid="{1C6D4F60-726B-4455-91B1-D0D935153F73}"/>
    <cellStyle name="Heading 1" xfId="1" builtinId="16" customBuiltin="1"/>
    <cellStyle name="Heading 2" xfId="2" builtinId="17" customBuiltin="1"/>
    <cellStyle name="Hyperlink" xfId="14" xr:uid="{B2A795EC-E257-48E4-93A0-CD547CC9B25E}"/>
    <cellStyle name="Neutral" xfId="5" builtinId="28" customBuiltin="1"/>
    <cellStyle name="Normal" xfId="0" builtinId="0" customBuiltin="1"/>
    <cellStyle name="Note" xfId="6" builtinId="10" customBuiltin="1"/>
    <cellStyle name="Status" xfId="15" xr:uid="{C25F1D28-767F-4D43-B32E-B44E4ABFD584}"/>
    <cellStyle name="Text" xfId="16" xr:uid="{52F36705-AF6F-46B4-9C27-7BC651B623C4}"/>
    <cellStyle name="Warning" xfId="17" xr:uid="{E696A4F3-3D95-4D92-A677-AED8C5E20F2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618261-9B69-4922-ACFD-5100BC87D651}">
  <dimension ref="A1:E45"/>
  <sheetViews>
    <sheetView tabSelected="1" workbookViewId="0">
      <selection activeCell="E45" sqref="E45"/>
    </sheetView>
  </sheetViews>
  <sheetFormatPr defaultRowHeight="15.75" customHeight="1" x14ac:dyDescent="0.2"/>
  <cols>
    <col min="1" max="1" width="10.375" customWidth="1"/>
    <col min="2" max="2" width="44.375" style="1" customWidth="1"/>
    <col min="3" max="3" width="9.5" customWidth="1"/>
    <col min="4" max="4" width="10.375" customWidth="1"/>
    <col min="5" max="5" width="11.75" customWidth="1"/>
    <col min="6" max="6" width="29.375" customWidth="1"/>
    <col min="7" max="1024" width="11.75" customWidth="1"/>
    <col min="1025" max="1025" width="9" customWidth="1"/>
  </cols>
  <sheetData>
    <row r="1" spans="1:5" ht="28.5" x14ac:dyDescent="0.2">
      <c r="A1" t="s">
        <v>44</v>
      </c>
      <c r="B1" s="1" t="s">
        <v>43</v>
      </c>
      <c r="C1" t="s">
        <v>40</v>
      </c>
      <c r="D1" s="1" t="s">
        <v>41</v>
      </c>
      <c r="E1" t="s">
        <v>42</v>
      </c>
    </row>
    <row r="2" spans="1:5" ht="14.25" x14ac:dyDescent="0.2">
      <c r="B2" s="1" t="s">
        <v>39</v>
      </c>
      <c r="C2">
        <v>2</v>
      </c>
      <c r="D2">
        <v>69.599999999999994</v>
      </c>
      <c r="E2">
        <f t="shared" ref="E2:E41" si="0">C2*D2</f>
        <v>139.19999999999999</v>
      </c>
    </row>
    <row r="3" spans="1:5" ht="14.25" x14ac:dyDescent="0.2">
      <c r="B3" s="1" t="s">
        <v>28</v>
      </c>
      <c r="C3">
        <v>2</v>
      </c>
      <c r="D3">
        <v>95</v>
      </c>
      <c r="E3">
        <f t="shared" si="0"/>
        <v>190</v>
      </c>
    </row>
    <row r="4" spans="1:5" ht="14.25" x14ac:dyDescent="0.2">
      <c r="B4" s="1" t="s">
        <v>38</v>
      </c>
      <c r="C4">
        <v>1</v>
      </c>
      <c r="D4">
        <v>20</v>
      </c>
      <c r="E4">
        <f t="shared" si="0"/>
        <v>20</v>
      </c>
    </row>
    <row r="5" spans="1:5" ht="14.25" x14ac:dyDescent="0.2">
      <c r="B5" s="1" t="s">
        <v>37</v>
      </c>
      <c r="C5">
        <v>1</v>
      </c>
      <c r="D5">
        <v>12</v>
      </c>
      <c r="E5">
        <f t="shared" si="0"/>
        <v>12</v>
      </c>
    </row>
    <row r="6" spans="1:5" ht="14.25" x14ac:dyDescent="0.2">
      <c r="B6" s="1" t="s">
        <v>36</v>
      </c>
      <c r="C6">
        <v>1</v>
      </c>
      <c r="D6">
        <v>8.61</v>
      </c>
      <c r="E6">
        <f t="shared" si="0"/>
        <v>8.61</v>
      </c>
    </row>
    <row r="7" spans="1:5" ht="14.25" x14ac:dyDescent="0.2">
      <c r="B7" s="1" t="s">
        <v>35</v>
      </c>
      <c r="C7">
        <v>2</v>
      </c>
      <c r="D7">
        <v>15</v>
      </c>
      <c r="E7">
        <f t="shared" si="0"/>
        <v>30</v>
      </c>
    </row>
    <row r="8" spans="1:5" ht="14.25" x14ac:dyDescent="0.2"/>
    <row r="9" spans="1:5" ht="14.25" x14ac:dyDescent="0.2"/>
    <row r="10" spans="1:5" ht="14.25" x14ac:dyDescent="0.2">
      <c r="B10" s="1" t="s">
        <v>34</v>
      </c>
      <c r="C10">
        <v>1</v>
      </c>
      <c r="D10">
        <v>28.8</v>
      </c>
      <c r="E10">
        <f t="shared" si="0"/>
        <v>28.8</v>
      </c>
    </row>
    <row r="11" spans="1:5" ht="14.25" x14ac:dyDescent="0.2"/>
    <row r="12" spans="1:5" ht="28.5" x14ac:dyDescent="0.2">
      <c r="B12" s="1" t="s">
        <v>0</v>
      </c>
      <c r="C12">
        <v>5</v>
      </c>
      <c r="D12">
        <v>2.88</v>
      </c>
      <c r="E12">
        <f t="shared" si="0"/>
        <v>14.399999999999999</v>
      </c>
    </row>
    <row r="13" spans="1:5" ht="14.25" x14ac:dyDescent="0.2">
      <c r="B13" s="1" t="s">
        <v>1</v>
      </c>
      <c r="C13">
        <v>4</v>
      </c>
      <c r="D13">
        <v>3.6</v>
      </c>
      <c r="E13">
        <f t="shared" si="0"/>
        <v>14.4</v>
      </c>
    </row>
    <row r="14" spans="1:5" ht="15.75" customHeight="1" x14ac:dyDescent="0.2">
      <c r="B14" s="1" t="s">
        <v>2</v>
      </c>
      <c r="C14">
        <v>1</v>
      </c>
      <c r="D14">
        <v>5.4</v>
      </c>
      <c r="E14">
        <f t="shared" si="0"/>
        <v>5.4</v>
      </c>
    </row>
    <row r="15" spans="1:5" ht="32.25" customHeight="1" x14ac:dyDescent="0.2">
      <c r="A15" s="2" t="s">
        <v>32</v>
      </c>
      <c r="B15" s="1" t="s">
        <v>33</v>
      </c>
      <c r="C15">
        <v>1</v>
      </c>
      <c r="D15">
        <v>30.8</v>
      </c>
      <c r="E15">
        <f t="shared" si="0"/>
        <v>30.8</v>
      </c>
    </row>
    <row r="16" spans="1:5" ht="15.75" customHeight="1" x14ac:dyDescent="0.2">
      <c r="A16" s="2"/>
      <c r="B16" s="1" t="s">
        <v>3</v>
      </c>
      <c r="C16">
        <v>3</v>
      </c>
      <c r="E16">
        <f t="shared" si="0"/>
        <v>0</v>
      </c>
    </row>
    <row r="17" spans="1:5" ht="15.75" customHeight="1" x14ac:dyDescent="0.2">
      <c r="A17" s="2"/>
      <c r="B17" s="1" t="s">
        <v>4</v>
      </c>
      <c r="C17">
        <v>1</v>
      </c>
      <c r="D17" s="1"/>
      <c r="E17">
        <f t="shared" si="0"/>
        <v>0</v>
      </c>
    </row>
    <row r="18" spans="1:5" ht="15.75" customHeight="1" x14ac:dyDescent="0.2">
      <c r="A18" s="2"/>
      <c r="B18" s="1" t="s">
        <v>5</v>
      </c>
      <c r="C18">
        <v>4</v>
      </c>
      <c r="E18">
        <f t="shared" si="0"/>
        <v>0</v>
      </c>
    </row>
    <row r="19" spans="1:5" ht="15.75" customHeight="1" x14ac:dyDescent="0.2">
      <c r="A19" s="2"/>
      <c r="B19" s="1" t="s">
        <v>6</v>
      </c>
      <c r="C19">
        <v>1</v>
      </c>
      <c r="E19">
        <f t="shared" si="0"/>
        <v>0</v>
      </c>
    </row>
    <row r="20" spans="1:5" ht="15.75" customHeight="1" x14ac:dyDescent="0.2">
      <c r="A20" s="2"/>
      <c r="B20" s="1" t="s">
        <v>7</v>
      </c>
      <c r="C20">
        <v>1</v>
      </c>
      <c r="E20">
        <f t="shared" si="0"/>
        <v>0</v>
      </c>
    </row>
    <row r="21" spans="1:5" ht="15.75" customHeight="1" x14ac:dyDescent="0.2">
      <c r="A21" s="2"/>
      <c r="B21" s="1" t="s">
        <v>8</v>
      </c>
      <c r="C21">
        <v>1</v>
      </c>
      <c r="E21">
        <f t="shared" si="0"/>
        <v>0</v>
      </c>
    </row>
    <row r="22" spans="1:5" ht="15.75" customHeight="1" x14ac:dyDescent="0.2">
      <c r="B22" s="1" t="s">
        <v>9</v>
      </c>
      <c r="C22">
        <f>16+5</f>
        <v>21</v>
      </c>
      <c r="D22">
        <v>1.5</v>
      </c>
      <c r="E22">
        <f t="shared" si="0"/>
        <v>31.5</v>
      </c>
    </row>
    <row r="23" spans="1:5" ht="15.75" customHeight="1" x14ac:dyDescent="0.2">
      <c r="B23" s="1" t="s">
        <v>10</v>
      </c>
      <c r="C23">
        <v>16</v>
      </c>
      <c r="E23">
        <f t="shared" si="0"/>
        <v>0</v>
      </c>
    </row>
    <row r="24" spans="1:5" ht="15.75" customHeight="1" x14ac:dyDescent="0.2">
      <c r="B24" s="1" t="s">
        <v>11</v>
      </c>
      <c r="C24">
        <v>0</v>
      </c>
      <c r="E24">
        <f t="shared" si="0"/>
        <v>0</v>
      </c>
    </row>
    <row r="25" spans="1:5" ht="15.75" customHeight="1" x14ac:dyDescent="0.2">
      <c r="B25" s="1" t="s">
        <v>12</v>
      </c>
      <c r="C25">
        <v>12</v>
      </c>
      <c r="E25">
        <f t="shared" si="0"/>
        <v>0</v>
      </c>
    </row>
    <row r="26" spans="1:5" ht="15.75" customHeight="1" x14ac:dyDescent="0.2">
      <c r="B26" s="1" t="s">
        <v>13</v>
      </c>
      <c r="C26">
        <v>2</v>
      </c>
      <c r="E26">
        <f t="shared" si="0"/>
        <v>0</v>
      </c>
    </row>
    <row r="27" spans="1:5" ht="15.75" customHeight="1" x14ac:dyDescent="0.2">
      <c r="B27" s="1" t="s">
        <v>14</v>
      </c>
      <c r="C27">
        <f>16+5+1</f>
        <v>22</v>
      </c>
      <c r="E27">
        <f t="shared" si="0"/>
        <v>0</v>
      </c>
    </row>
    <row r="28" spans="1:5" ht="15.75" customHeight="1" x14ac:dyDescent="0.2">
      <c r="B28" s="1" t="s">
        <v>15</v>
      </c>
      <c r="C28">
        <v>1</v>
      </c>
      <c r="E28">
        <f t="shared" si="0"/>
        <v>0</v>
      </c>
    </row>
    <row r="29" spans="1:5" ht="15.75" customHeight="1" x14ac:dyDescent="0.2">
      <c r="B29" s="1" t="s">
        <v>16</v>
      </c>
      <c r="C29">
        <v>1</v>
      </c>
      <c r="E29">
        <f t="shared" si="0"/>
        <v>0</v>
      </c>
    </row>
    <row r="30" spans="1:5" ht="15.75" customHeight="1" x14ac:dyDescent="0.2">
      <c r="B30" s="1" t="s">
        <v>17</v>
      </c>
      <c r="C30">
        <v>25</v>
      </c>
      <c r="E30">
        <f t="shared" si="0"/>
        <v>0</v>
      </c>
    </row>
    <row r="31" spans="1:5" ht="15.75" customHeight="1" x14ac:dyDescent="0.2">
      <c r="B31" s="1" t="s">
        <v>18</v>
      </c>
      <c r="C31">
        <v>12</v>
      </c>
      <c r="E31">
        <f t="shared" si="0"/>
        <v>0</v>
      </c>
    </row>
    <row r="32" spans="1:5" ht="15.75" customHeight="1" x14ac:dyDescent="0.2">
      <c r="B32" s="1" t="s">
        <v>19</v>
      </c>
      <c r="C32">
        <v>9</v>
      </c>
      <c r="E32">
        <f t="shared" si="0"/>
        <v>0</v>
      </c>
    </row>
    <row r="33" spans="1:5" ht="15.75" customHeight="1" x14ac:dyDescent="0.2">
      <c r="B33" s="1" t="s">
        <v>20</v>
      </c>
      <c r="C33">
        <v>4</v>
      </c>
      <c r="D33">
        <v>0.40749999999999997</v>
      </c>
      <c r="E33">
        <f t="shared" si="0"/>
        <v>1.63</v>
      </c>
    </row>
    <row r="34" spans="1:5" ht="30.75" customHeight="1" x14ac:dyDescent="0.2">
      <c r="A34" s="3" t="s">
        <v>31</v>
      </c>
      <c r="B34" s="1" t="s">
        <v>21</v>
      </c>
      <c r="C34">
        <v>7</v>
      </c>
      <c r="D34">
        <v>345.15</v>
      </c>
      <c r="E34">
        <f t="shared" si="0"/>
        <v>2416.0499999999997</v>
      </c>
    </row>
    <row r="35" spans="1:5" ht="15.75" customHeight="1" x14ac:dyDescent="0.2">
      <c r="A35" s="2"/>
      <c r="B35" s="1" t="s">
        <v>22</v>
      </c>
      <c r="E35">
        <f t="shared" si="0"/>
        <v>0</v>
      </c>
    </row>
    <row r="36" spans="1:5" ht="15.75" customHeight="1" x14ac:dyDescent="0.2">
      <c r="A36" s="2"/>
      <c r="B36" s="1" t="s">
        <v>23</v>
      </c>
      <c r="E36">
        <f t="shared" si="0"/>
        <v>0</v>
      </c>
    </row>
    <row r="37" spans="1:5" ht="15.75" customHeight="1" x14ac:dyDescent="0.2">
      <c r="A37" s="2"/>
      <c r="B37" s="1" t="s">
        <v>24</v>
      </c>
      <c r="E37">
        <f t="shared" si="0"/>
        <v>0</v>
      </c>
    </row>
    <row r="38" spans="1:5" ht="15.75" customHeight="1" x14ac:dyDescent="0.2">
      <c r="A38" s="2"/>
      <c r="B38" s="1" t="s">
        <v>25</v>
      </c>
      <c r="E38">
        <f t="shared" si="0"/>
        <v>0</v>
      </c>
    </row>
    <row r="39" spans="1:5" ht="15.75" customHeight="1" x14ac:dyDescent="0.2">
      <c r="B39" s="1" t="s">
        <v>26</v>
      </c>
      <c r="E39">
        <f t="shared" si="0"/>
        <v>0</v>
      </c>
    </row>
    <row r="40" spans="1:5" ht="15.75" customHeight="1" x14ac:dyDescent="0.2">
      <c r="B40" s="1" t="s">
        <v>27</v>
      </c>
      <c r="C40">
        <v>1</v>
      </c>
      <c r="D40">
        <v>33.4</v>
      </c>
      <c r="E40">
        <f t="shared" si="0"/>
        <v>33.4</v>
      </c>
    </row>
    <row r="41" spans="1:5" ht="15.75" customHeight="1" x14ac:dyDescent="0.2">
      <c r="B41" s="1" t="s">
        <v>30</v>
      </c>
      <c r="C41">
        <v>1</v>
      </c>
      <c r="D41">
        <v>52</v>
      </c>
      <c r="E41">
        <f t="shared" si="0"/>
        <v>52</v>
      </c>
    </row>
    <row r="45" spans="1:5" ht="15.75" customHeight="1" x14ac:dyDescent="0.2">
      <c r="D45" t="s">
        <v>29</v>
      </c>
      <c r="E45">
        <f>SUM(E2:E41)</f>
        <v>3028.1899999999996</v>
      </c>
    </row>
  </sheetData>
  <pageMargins left="0.74805555555555614" right="0.74805555555555614" top="1.3776388888888891" bottom="1.3776388888888891" header="0.98388888888888903" footer="0.98388888888888903"/>
  <pageSetup paperSize="0" fitToWidth="0" fitToHeight="0" orientation="portrait" horizontalDpi="0" verticalDpi="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lihao.zhou2241</cp:lastModifiedBy>
  <dcterms:created xsi:type="dcterms:W3CDTF">2026-02-28T08:49:00Z</dcterms:created>
  <dcterms:modified xsi:type="dcterms:W3CDTF">2026-03-30T11:23:23Z</dcterms:modified>
</cp:coreProperties>
</file>