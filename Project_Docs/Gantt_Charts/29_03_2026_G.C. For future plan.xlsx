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iCloudDrive\Desktop\University of Hong Kong\IDAT7100 Dissertation\"/>
    </mc:Choice>
  </mc:AlternateContent>
  <xr:revisionPtr revIDLastSave="0" documentId="13_ncr:1_{9F612839-DD43-42C1-AAF8-9B4FD0B81D7B}" xr6:coauthVersionLast="47" xr6:coauthVersionMax="47" xr10:uidLastSave="{00000000-0000-0000-0000-000000000000}"/>
  <bookViews>
    <workbookView xWindow="-120" yWindow="-120" windowWidth="29040" windowHeight="15720" xr2:uid="{00000000-000D-0000-FFFF-FFFF00000000}"/>
  </bookViews>
  <sheets>
    <sheet name="Sheet1" sheetId="13" r:id="rId1"/>
    <sheet name="Project schedule" sheetId="11" r:id="rId2"/>
  </sheets>
  <definedNames>
    <definedName name="Display_Week">'Project schedule'!$O$2</definedName>
    <definedName name="_xlnm.Print_Titles" localSheetId="1">'Project schedule'!$4:$6</definedName>
    <definedName name="Project_Start">'Project schedule'!$O$1</definedName>
    <definedName name="task_end" localSheetId="1">'Project schedule'!$D1</definedName>
    <definedName name="task_progress" localSheetId="1">'Project schedule'!#REF!</definedName>
    <definedName name="task_start" localSheetId="1">'Project schedule'!$C1</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1" l="1"/>
  <c r="C9" i="11" l="1"/>
  <c r="G5" i="11" l="1"/>
  <c r="G4" i="11" s="1"/>
  <c r="F25" i="11"/>
  <c r="F24" i="11"/>
  <c r="F19" i="11"/>
  <c r="F16" i="11"/>
  <c r="F12" i="11"/>
  <c r="F8" i="11"/>
  <c r="F17" i="11" l="1"/>
  <c r="F18" i="11"/>
  <c r="G6" i="11"/>
  <c r="F9" i="11" l="1"/>
  <c r="F23" i="11"/>
  <c r="F20" i="11"/>
  <c r="F10" i="11"/>
  <c r="F13" i="11"/>
  <c r="H5" i="11"/>
  <c r="I5" i="11" s="1"/>
  <c r="J5" i="11" s="1"/>
  <c r="K5" i="11" s="1"/>
  <c r="L5" i="11" s="1"/>
  <c r="M5" i="11" s="1"/>
  <c r="N5" i="11" s="1"/>
  <c r="F21" i="11" l="1"/>
  <c r="F22" i="11"/>
  <c r="F14" i="11"/>
  <c r="F11" i="11"/>
  <c r="N4" i="11"/>
  <c r="O5" i="11"/>
  <c r="P5" i="11" s="1"/>
  <c r="Q5" i="11" s="1"/>
  <c r="R5" i="11" s="1"/>
  <c r="S5" i="11" s="1"/>
  <c r="T5" i="11" s="1"/>
  <c r="U5" i="11" s="1"/>
  <c r="H6" i="11"/>
  <c r="F15" i="11" l="1"/>
  <c r="U4" i="11"/>
  <c r="V5" i="11"/>
  <c r="W5" i="11" s="1"/>
  <c r="X5" i="11" s="1"/>
  <c r="Y5" i="11" s="1"/>
  <c r="Z5" i="11" s="1"/>
  <c r="AA5" i="11" s="1"/>
  <c r="AB5" i="11" s="1"/>
  <c r="I6" i="11"/>
  <c r="AC5" i="11" l="1"/>
  <c r="AD5" i="11" s="1"/>
  <c r="AE5" i="11" s="1"/>
  <c r="AF5" i="11" s="1"/>
  <c r="AG5" i="11" s="1"/>
  <c r="AH5" i="11" s="1"/>
  <c r="AB4" i="11"/>
  <c r="J6" i="11"/>
  <c r="AI5" i="11" l="1"/>
  <c r="AJ5" i="11" s="1"/>
  <c r="AK5" i="11" s="1"/>
  <c r="AL5" i="11" s="1"/>
  <c r="AM5" i="11" s="1"/>
  <c r="AN5" i="11" s="1"/>
  <c r="AO5" i="11" s="1"/>
  <c r="K6" i="11"/>
  <c r="AP5" i="11" l="1"/>
  <c r="AQ5" i="11" s="1"/>
  <c r="AI4" i="11"/>
  <c r="L6" i="11"/>
  <c r="AR5" i="11" l="1"/>
  <c r="AQ6" i="11"/>
  <c r="AP4" i="11"/>
  <c r="M6" i="11"/>
  <c r="AS5" i="11" l="1"/>
  <c r="AR6" i="11"/>
  <c r="AT5" i="11" l="1"/>
  <c r="AS6" i="11"/>
  <c r="N6" i="11"/>
  <c r="O6" i="11"/>
  <c r="AU5" i="11" l="1"/>
  <c r="AT6" i="11"/>
  <c r="P6" i="11"/>
  <c r="AV5" i="11" l="1"/>
  <c r="AW5" i="11" s="1"/>
  <c r="AU6" i="11"/>
  <c r="Q6" i="11"/>
  <c r="AW6" i="11" l="1"/>
  <c r="AX5" i="11"/>
  <c r="AW4" i="11"/>
  <c r="AV6" i="11"/>
  <c r="R6" i="11"/>
  <c r="AY5" i="11" l="1"/>
  <c r="AX6" i="11"/>
  <c r="S6" i="11"/>
  <c r="AY6" i="11" l="1"/>
  <c r="AZ5" i="11"/>
  <c r="T6" i="11"/>
  <c r="AZ6" i="11" l="1"/>
  <c r="BA5" i="11"/>
  <c r="U6" i="11"/>
  <c r="BA6" i="11" l="1"/>
  <c r="BB5" i="11"/>
  <c r="V6" i="11"/>
  <c r="BC5" i="11" l="1"/>
  <c r="BB6" i="11"/>
  <c r="W6" i="11"/>
  <c r="BC6" i="11" l="1"/>
  <c r="BD5" i="11"/>
  <c r="X6" i="11"/>
  <c r="BD6" i="11" l="1"/>
  <c r="BE5" i="11"/>
  <c r="BD4" i="11"/>
  <c r="Y6" i="11"/>
  <c r="BE6" i="11" l="1"/>
  <c r="BF5" i="11"/>
  <c r="Z6" i="11"/>
  <c r="BG5" i="11" l="1"/>
  <c r="BF6" i="11"/>
  <c r="AA6" i="11"/>
  <c r="BH5" i="11" l="1"/>
  <c r="BG6" i="11"/>
  <c r="AB6" i="11"/>
  <c r="BI5" i="11" l="1"/>
  <c r="BH6" i="11"/>
  <c r="AC6" i="11"/>
  <c r="BJ5" i="11" l="1"/>
  <c r="BI6" i="11"/>
  <c r="AD6" i="11"/>
  <c r="BJ6" i="11" l="1"/>
  <c r="AE6" i="1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<sst xmlns="http://schemas.openxmlformats.org/spreadsheetml/2006/main" count="69" uniqueCount="44">
  <si>
    <t>Insert new rows ABOVE this one</t>
  </si>
  <si>
    <t>START</t>
  </si>
  <si>
    <t>END</t>
  </si>
  <si>
    <t>TASK</t>
  </si>
  <si>
    <t xml:space="preserve">Do not delete this row. This row is hidden to preserve a formula that is used to highlight the current day within the project schedule. </t>
  </si>
  <si>
    <t>Project start:</t>
  </si>
  <si>
    <t>Display week:</t>
  </si>
  <si>
    <t>Task ID</t>
  </si>
  <si>
    <t>WP1: Data Pipeline &amp; Hardware Setup</t>
  </si>
  <si>
    <t>T1</t>
  </si>
  <si>
    <t>None</t>
  </si>
  <si>
    <t>T2</t>
  </si>
  <si>
    <t>Hardware Debugging &amp; Signal Pre-processing Optimisation</t>
  </si>
  <si>
    <t>T3</t>
  </si>
  <si>
    <t>T4</t>
  </si>
  <si>
    <t>T5</t>
  </si>
  <si>
    <t>T6</t>
  </si>
  <si>
    <t>WP3: System Validation &amp; Deployment</t>
  </si>
  <si>
    <t>T7</t>
  </si>
  <si>
    <t>T8</t>
  </si>
  <si>
    <t>WP4: Thesis Writing</t>
  </si>
  <si>
    <t>T9</t>
  </si>
  <si>
    <t>T10</t>
  </si>
  <si>
    <t>T11</t>
  </si>
  <si>
    <t>T12</t>
  </si>
  <si>
    <t>Work Package</t>
  </si>
  <si>
    <t>Task Description</t>
  </si>
  <si>
    <t>Procurement and integration of 2nd sEMG Module</t>
  </si>
  <si>
    <t>Development of Automated Data Annotation Pipeline via visual synchronisation</t>
  </si>
  <si>
    <t>Level 1&amp; 2 tuning: Baseline binary and advanced state classification (SVM, Random Forest)</t>
  </si>
  <si>
    <t>Level 3 tuning: Temporal sequence analysis for continuous gesture recognition (LSTM)</t>
  </si>
  <si>
    <t>Level 4 tuning: Complex intent recognition and fine-grained prediction (CNN)</t>
  </si>
  <si>
    <t>Kinematic simulation validation (Sim-to-Sim)</t>
  </si>
  <si>
    <t>Physical deployment and tendon-driven actuation testing (Sim-to-Real)</t>
  </si>
  <si>
    <t>Outline finalisation, Introduction and literature review</t>
  </si>
  <si>
    <t>Methodology drafting</t>
  </si>
  <si>
    <t>Result analysis, Discussion and Future work</t>
  </si>
  <si>
    <t>Final report content and formatting check</t>
  </si>
  <si>
    <t>WP4: Report Writing</t>
  </si>
  <si>
    <t>WP1: Data Pipeline &amp; Hardware Seup</t>
  </si>
  <si>
    <t>WP2: Progressive Algorithm Evaluation</t>
  </si>
  <si>
    <t>Lihao ZHOU</t>
  </si>
  <si>
    <t>Boundary Evaluation of Low-Fidelity sEMG Acquisition for Dexterous Hand Control</t>
  </si>
  <si>
    <t>Prerequisites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</si>
</sst>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yyyy\-mm\-dd;@"/>
  </numFmts>
  <fonts count="2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1"/>
      <color theme="1"/>
      <name val="Arial"/>
      <family val="2"/>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1"/>
      <color theme="1"/>
      <name val="Arial"/>
      <family val="2"/>
      <scheme val="minor"/>
    </font>
    <font>
      <b/>
      <sz val="16"/>
      <color theme="6" tint="-0.249977111117893"/>
      <name val="Arial"/>
      <family val="2"/>
      <scheme val="minor"/>
    </font>
    <font>
      <sz val="11"/>
      <color theme="6" tint="-0.249977111117893"/>
      <name val="Arial"/>
      <family val="2"/>
      <scheme val="minor"/>
    </font>
    <font>
      <sz val="16"/>
      <color theme="6" tint="-0.249977111117893"/>
      <name val="Arial"/>
      <family val="2"/>
      <scheme val="minor"/>
    </font>
    <font>
      <b/>
      <sz val="16"/>
      <color theme="6" tint="-0.249977111117893"/>
      <name val="Arial Black"/>
      <family val="2"/>
      <scheme val="major"/>
    </font>
    <font>
      <sz val="11"/>
      <color theme="6" tint="-0.249977111117893"/>
      <name val="Arial Black"/>
      <family val="2"/>
      <scheme val="major"/>
    </font>
    <font>
      <b/>
      <sz val="12"/>
      <color theme="6" tint="-0.249977111117893"/>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6">
    <xf numFmtId="0" fontId="0" fillId="0" borderId="0"/>
    <xf numFmtId="0" fontId="2" fillId="0" borderId="0" applyNumberFormat="0" applyFill="0" applyBorder="0" applyAlignment="0" applyProtection="0">
      <alignment vertical="top"/>
      <protection locked="0"/>
    </xf>
    <xf numFmtId="0" fontId="7"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cellStyleXfs>
  <cellXfs count="9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2"/>
    <xf numFmtId="0" fontId="7" fillId="0" borderId="0" xfId="2" applyAlignment="1">
      <alignment wrapText="1"/>
    </xf>
    <xf numFmtId="0" fontId="7" fillId="0" borderId="0" xfId="0" applyFont="1" applyAlignment="1">
      <alignment horizontal="center"/>
    </xf>
    <xf numFmtId="0" fontId="3" fillId="0" borderId="0" xfId="0" applyFont="1" applyAlignment="1">
      <alignment horizontal="center" vertical="center"/>
    </xf>
    <xf numFmtId="0" fontId="8" fillId="0" borderId="0" xfId="0" applyFont="1"/>
    <xf numFmtId="0" fontId="8" fillId="0" borderId="0" xfId="0" applyFont="1" applyAlignment="1">
      <alignment horizontal="center"/>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1" fillId="6" borderId="20" xfId="0" applyNumberFormat="1" applyFont="1" applyFill="1" applyBorder="1" applyAlignment="1">
      <alignment horizontal="center" vertical="center"/>
    </xf>
    <xf numFmtId="168" fontId="11" fillId="6" borderId="18" xfId="0" applyNumberFormat="1" applyFont="1" applyFill="1" applyBorder="1" applyAlignment="1">
      <alignment horizontal="center" vertical="center"/>
    </xf>
    <xf numFmtId="168" fontId="11" fillId="6" borderId="19" xfId="0" applyNumberFormat="1" applyFont="1" applyFill="1" applyBorder="1" applyAlignment="1">
      <alignment horizontal="center" vertical="center"/>
    </xf>
    <xf numFmtId="0" fontId="12" fillId="2" borderId="17" xfId="0" applyFont="1" applyFill="1" applyBorder="1" applyAlignment="1">
      <alignment horizontal="center" vertical="center" shrinkToFit="1"/>
    </xf>
    <xf numFmtId="0" fontId="12" fillId="2" borderId="14" xfId="0" applyFont="1" applyFill="1" applyBorder="1" applyAlignment="1">
      <alignment horizontal="center" vertical="center" shrinkToFit="1"/>
    </xf>
    <xf numFmtId="0" fontId="12" fillId="2" borderId="15" xfId="0" applyFont="1" applyFill="1" applyBorder="1" applyAlignment="1">
      <alignment horizontal="center" vertical="center" shrinkToFit="1"/>
    </xf>
    <xf numFmtId="0" fontId="9" fillId="0" borderId="0" xfId="0" applyFont="1"/>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3" fillId="4" borderId="0" xfId="0" applyFont="1" applyFill="1" applyAlignment="1">
      <alignment horizontal="left" vertical="center" indent="1"/>
    </xf>
    <xf numFmtId="165" fontId="9" fillId="4" borderId="0" xfId="0" applyNumberFormat="1" applyFont="1" applyFill="1" applyAlignment="1">
      <alignment horizontal="center" vertical="center"/>
    </xf>
    <xf numFmtId="165" fontId="1" fillId="4" borderId="0" xfId="0" applyNumberFormat="1" applyFont="1" applyFill="1" applyAlignment="1">
      <alignment horizontal="center" vertical="center"/>
    </xf>
    <xf numFmtId="0" fontId="4" fillId="0" borderId="11" xfId="0" applyFont="1" applyBorder="1" applyAlignment="1">
      <alignment vertical="center"/>
    </xf>
    <xf numFmtId="0" fontId="9" fillId="3" borderId="8" xfId="11" applyFont="1" applyFill="1" applyBorder="1">
      <alignment horizontal="left" vertical="center" indent="2"/>
    </xf>
    <xf numFmtId="0" fontId="4" fillId="0" borderId="10" xfId="0" applyFont="1" applyBorder="1" applyAlignment="1">
      <alignment vertical="center"/>
    </xf>
    <xf numFmtId="0" fontId="9" fillId="0" borderId="0" xfId="11" applyFont="1" applyBorder="1">
      <alignment horizontal="left" vertical="center" indent="2"/>
    </xf>
    <xf numFmtId="165" fontId="9" fillId="0" borderId="0" xfId="9" applyFont="1" applyBorder="1">
      <alignment horizontal="center" vertical="center"/>
    </xf>
    <xf numFmtId="0" fontId="14" fillId="2" borderId="0" xfId="0" applyFont="1" applyFill="1" applyAlignment="1">
      <alignment horizontal="left" vertical="center" indent="1"/>
    </xf>
    <xf numFmtId="165" fontId="1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0" fillId="0" borderId="0" xfId="0" applyAlignment="1">
      <alignment wrapText="1"/>
    </xf>
    <xf numFmtId="0" fontId="16" fillId="0" borderId="22" xfId="0" applyFont="1" applyBorder="1" applyAlignment="1">
      <alignment wrapText="1"/>
    </xf>
    <xf numFmtId="0" fontId="16" fillId="0" borderId="22" xfId="0" applyFont="1" applyBorder="1"/>
    <xf numFmtId="0" fontId="4" fillId="9" borderId="23" xfId="14" applyBorder="1" applyAlignment="1">
      <alignment horizontal="center" vertical="center"/>
    </xf>
    <xf numFmtId="0" fontId="4" fillId="9" borderId="23" xfId="14" applyBorder="1" applyAlignment="1">
      <alignment vertical="top" wrapText="1"/>
    </xf>
    <xf numFmtId="0" fontId="4" fillId="9" borderId="22" xfId="14" applyBorder="1" applyAlignment="1">
      <alignment horizontal="center" vertical="center"/>
    </xf>
    <xf numFmtId="0" fontId="4" fillId="9" borderId="22" xfId="14" applyBorder="1" applyAlignment="1">
      <alignment vertical="top" wrapText="1"/>
    </xf>
    <xf numFmtId="0" fontId="4" fillId="10" borderId="22" xfId="15" applyBorder="1" applyAlignment="1">
      <alignment horizontal="center" vertical="center"/>
    </xf>
    <xf numFmtId="0" fontId="4" fillId="10" borderId="22" xfId="15" applyBorder="1" applyAlignment="1">
      <alignment vertical="top" wrapText="1"/>
    </xf>
    <xf numFmtId="0" fontId="4" fillId="8" borderId="22" xfId="13" applyBorder="1" applyAlignment="1">
      <alignment horizontal="center" vertical="center"/>
    </xf>
    <xf numFmtId="0" fontId="4" fillId="8" borderId="22" xfId="13" applyBorder="1" applyAlignment="1">
      <alignment vertical="top" wrapText="1"/>
    </xf>
    <xf numFmtId="0" fontId="4" fillId="7" borderId="22" xfId="12" applyBorder="1" applyAlignment="1">
      <alignment horizontal="center" vertical="center"/>
    </xf>
    <xf numFmtId="0" fontId="4" fillId="7" borderId="22" xfId="12" applyBorder="1" applyAlignment="1">
      <alignment vertical="top" wrapText="1"/>
    </xf>
    <xf numFmtId="165" fontId="4" fillId="9" borderId="0" xfId="14" applyNumberFormat="1" applyAlignment="1">
      <alignment horizontal="center" vertical="center"/>
    </xf>
    <xf numFmtId="0" fontId="4" fillId="9" borderId="6" xfId="14" applyBorder="1" applyAlignment="1">
      <alignment horizontal="left" vertical="center" indent="2"/>
    </xf>
    <xf numFmtId="0" fontId="4" fillId="9" borderId="7" xfId="14" applyBorder="1" applyAlignment="1">
      <alignment horizontal="left" vertical="center" indent="2"/>
    </xf>
    <xf numFmtId="165" fontId="4" fillId="10" borderId="0" xfId="15" applyNumberFormat="1" applyAlignment="1">
      <alignment horizontal="center" vertical="center"/>
    </xf>
    <xf numFmtId="0" fontId="4" fillId="10" borderId="5" xfId="15" applyBorder="1" applyAlignment="1">
      <alignment horizontal="left" vertical="center" indent="2"/>
    </xf>
    <xf numFmtId="165" fontId="4" fillId="7" borderId="0" xfId="12" applyNumberFormat="1" applyAlignment="1">
      <alignment horizontal="center" vertical="center"/>
    </xf>
    <xf numFmtId="0" fontId="4" fillId="7" borderId="9" xfId="12" applyBorder="1" applyAlignment="1">
      <alignment horizontal="left" vertical="center" indent="2"/>
    </xf>
    <xf numFmtId="169" fontId="4" fillId="9" borderId="6" xfId="14" applyNumberFormat="1" applyBorder="1" applyAlignment="1">
      <alignment horizontal="center" vertical="center"/>
    </xf>
    <xf numFmtId="169" fontId="4" fillId="9" borderId="7" xfId="14" applyNumberFormat="1" applyBorder="1" applyAlignment="1">
      <alignment horizontal="center" vertical="center"/>
    </xf>
    <xf numFmtId="169" fontId="4" fillId="10" borderId="5" xfId="15" applyNumberFormat="1" applyBorder="1" applyAlignment="1">
      <alignment horizontal="center" vertical="center"/>
    </xf>
    <xf numFmtId="169" fontId="9" fillId="3" borderId="8" xfId="9" applyNumberFormat="1" applyFont="1" applyFill="1" applyBorder="1">
      <alignment horizontal="center" vertical="center"/>
    </xf>
    <xf numFmtId="169" fontId="4" fillId="7" borderId="9" xfId="12" applyNumberFormat="1" applyBorder="1" applyAlignment="1">
      <alignment horizontal="center" vertical="center"/>
    </xf>
    <xf numFmtId="0" fontId="16" fillId="10" borderId="0" xfId="15" applyFont="1" applyAlignment="1">
      <alignment horizontal="left" vertical="center" indent="1"/>
    </xf>
    <xf numFmtId="0" fontId="16" fillId="9" borderId="0" xfId="14" applyFont="1" applyAlignment="1">
      <alignment horizontal="left" vertical="center" indent="1"/>
    </xf>
    <xf numFmtId="0" fontId="16" fillId="7" borderId="0" xfId="12" applyFont="1" applyAlignment="1">
      <alignment horizontal="left" vertical="center" indent="1"/>
    </xf>
    <xf numFmtId="0" fontId="19" fillId="0" borderId="0" xfId="0" applyFont="1"/>
    <xf numFmtId="0" fontId="17" fillId="0" borderId="0" xfId="5" applyFont="1" applyAlignment="1">
      <alignment horizontal="left" vertical="center"/>
    </xf>
    <xf numFmtId="0" fontId="4" fillId="9" borderId="22" xfId="14" applyBorder="1" applyAlignment="1">
      <alignment horizontal="center" vertical="center" wrapText="1"/>
    </xf>
    <xf numFmtId="0" fontId="0" fillId="10" borderId="22" xfId="15" applyFont="1" applyBorder="1" applyAlignment="1">
      <alignment horizontal="center" vertical="center" wrapText="1"/>
    </xf>
    <xf numFmtId="0" fontId="4" fillId="10" borderId="22" xfId="15" applyBorder="1" applyAlignment="1">
      <alignment horizontal="center" vertical="center" wrapText="1"/>
    </xf>
    <xf numFmtId="0" fontId="4" fillId="8" borderId="22" xfId="13" applyBorder="1" applyAlignment="1">
      <alignment horizontal="center" vertical="center" wrapText="1"/>
    </xf>
    <xf numFmtId="0" fontId="4" fillId="7" borderId="22" xfId="12" applyBorder="1" applyAlignment="1">
      <alignment horizontal="center" vertical="center" wrapText="1"/>
    </xf>
    <xf numFmtId="0" fontId="22" fillId="0" borderId="0" xfId="4" applyFont="1" applyAlignment="1">
      <alignment horizontal="left" vertical="top" wrapText="1"/>
    </xf>
    <xf numFmtId="167" fontId="9" fillId="2" borderId="13" xfId="0" applyNumberFormat="1" applyFont="1" applyFill="1" applyBorder="1" applyAlignment="1">
      <alignment horizontal="center" vertical="center" wrapText="1"/>
    </xf>
    <xf numFmtId="167" fontId="9" fillId="2" borderId="19" xfId="0" applyNumberFormat="1" applyFont="1" applyFill="1" applyBorder="1" applyAlignment="1">
      <alignment horizontal="center" vertical="center" wrapText="1"/>
    </xf>
    <xf numFmtId="167" fontId="9" fillId="2" borderId="18" xfId="0" applyNumberFormat="1" applyFont="1" applyFill="1" applyBorder="1" applyAlignment="1">
      <alignment horizontal="center" vertical="center" wrapText="1"/>
    </xf>
    <xf numFmtId="0" fontId="10" fillId="5" borderId="16" xfId="0" applyFont="1" applyFill="1" applyBorder="1" applyAlignment="1">
      <alignment horizontal="center" vertical="center"/>
    </xf>
    <xf numFmtId="0" fontId="4" fillId="2" borderId="21" xfId="0" applyFont="1" applyFill="1" applyBorder="1"/>
    <xf numFmtId="0" fontId="20" fillId="0" borderId="0" xfId="0" applyFont="1" applyAlignment="1">
      <alignment horizontal="left"/>
    </xf>
    <xf numFmtId="0" fontId="21" fillId="0" borderId="0" xfId="0" applyFont="1"/>
    <xf numFmtId="169" fontId="20" fillId="0" borderId="0" xfId="8" applyNumberFormat="1" applyFont="1" applyBorder="1" applyAlignment="1">
      <alignment horizontal="left"/>
    </xf>
    <xf numFmtId="169" fontId="21" fillId="0" borderId="0" xfId="0" applyNumberFormat="1" applyFont="1"/>
    <xf numFmtId="0" fontId="17" fillId="0" borderId="0" xfId="7" applyFont="1" applyAlignment="1">
      <alignment horizontal="left"/>
    </xf>
    <xf numFmtId="0" fontId="18" fillId="0" borderId="0" xfId="0" applyFont="1"/>
    <xf numFmtId="0" fontId="7" fillId="0" borderId="0" xfId="2" applyAlignment="1">
      <alignment wrapText="1"/>
    </xf>
    <xf numFmtId="0" fontId="10" fillId="5" borderId="16" xfId="0" applyFont="1" applyFill="1" applyBorder="1" applyAlignment="1">
      <alignment horizontal="left" vertical="center" indent="1"/>
    </xf>
    <xf numFmtId="0" fontId="4" fillId="2" borderId="21" xfId="0" applyFont="1" applyFill="1" applyBorder="1" applyAlignment="1">
      <alignment horizontal="left" indent="1"/>
    </xf>
  </cellXfs>
  <cellStyles count="16">
    <cellStyle name="20% - Accent1" xfId="12" builtinId="30"/>
    <cellStyle name="20% - Accent3" xfId="13" builtinId="38"/>
    <cellStyle name="20% - Accent5" xfId="14" builtinId="46"/>
    <cellStyle name="20% - Accent6" xfId="15" builtinId="50"/>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fill>
        <patternFill>
          <bgColor theme="4" tint="0.39994506668294322"/>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9"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8"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3508-696B-4EED-94F5-B6EC3B4D3483}">
  <dimension ref="B1:G14"/>
  <sheetViews>
    <sheetView tabSelected="1" workbookViewId="0">
      <selection activeCell="F5" sqref="F5"/>
    </sheetView>
  </sheetViews>
  <sheetFormatPr defaultRowHeight="14.25" x14ac:dyDescent="0.2"/>
  <cols>
    <col min="1" max="1" width="3.5" customWidth="1"/>
    <col min="2" max="2" width="14.375" style="40" customWidth="1"/>
    <col min="3" max="3" width="7.25" customWidth="1"/>
    <col min="4" max="4" width="28.125" style="40" customWidth="1"/>
    <col min="5" max="5" width="12.75" customWidth="1"/>
  </cols>
  <sheetData>
    <row r="1" spans="2:7" ht="9" customHeight="1" x14ac:dyDescent="0.2"/>
    <row r="2" spans="2:7" ht="33" customHeight="1" x14ac:dyDescent="0.25">
      <c r="B2" s="41" t="s">
        <v>25</v>
      </c>
      <c r="C2" s="42" t="s">
        <v>7</v>
      </c>
      <c r="D2" s="41" t="s">
        <v>26</v>
      </c>
      <c r="E2" s="41" t="s">
        <v>43</v>
      </c>
    </row>
    <row r="3" spans="2:7" ht="42.75" customHeight="1" x14ac:dyDescent="0.2">
      <c r="B3" s="70" t="s">
        <v>8</v>
      </c>
      <c r="C3" s="43" t="s">
        <v>9</v>
      </c>
      <c r="D3" s="44" t="s">
        <v>27</v>
      </c>
      <c r="E3" s="43" t="s">
        <v>10</v>
      </c>
    </row>
    <row r="4" spans="2:7" ht="28.5" x14ac:dyDescent="0.2">
      <c r="B4" s="70"/>
      <c r="C4" s="45" t="s">
        <v>11</v>
      </c>
      <c r="D4" s="46" t="s">
        <v>12</v>
      </c>
      <c r="E4" s="45" t="s">
        <v>9</v>
      </c>
      <c r="G4" s="22"/>
    </row>
    <row r="5" spans="2:7" ht="42.75" x14ac:dyDescent="0.2">
      <c r="B5" s="70"/>
      <c r="C5" s="45" t="s">
        <v>13</v>
      </c>
      <c r="D5" s="46" t="s">
        <v>28</v>
      </c>
      <c r="E5" s="45" t="s">
        <v>11</v>
      </c>
    </row>
    <row r="6" spans="2:7" ht="57" x14ac:dyDescent="0.2">
      <c r="B6" s="71" t="s">
        <v>40</v>
      </c>
      <c r="C6" s="47" t="s">
        <v>14</v>
      </c>
      <c r="D6" s="48" t="s">
        <v>29</v>
      </c>
      <c r="E6" s="47" t="s">
        <v>13</v>
      </c>
    </row>
    <row r="7" spans="2:7" ht="57" x14ac:dyDescent="0.2">
      <c r="B7" s="72"/>
      <c r="C7" s="47" t="s">
        <v>15</v>
      </c>
      <c r="D7" s="48" t="s">
        <v>30</v>
      </c>
      <c r="E7" s="47" t="s">
        <v>14</v>
      </c>
    </row>
    <row r="8" spans="2:7" ht="42.75" x14ac:dyDescent="0.2">
      <c r="B8" s="72"/>
      <c r="C8" s="47" t="s">
        <v>16</v>
      </c>
      <c r="D8" s="48" t="s">
        <v>31</v>
      </c>
      <c r="E8" s="47" t="s">
        <v>15</v>
      </c>
    </row>
    <row r="9" spans="2:7" ht="42.75" customHeight="1" x14ac:dyDescent="0.2">
      <c r="B9" s="73" t="s">
        <v>17</v>
      </c>
      <c r="C9" s="49" t="s">
        <v>18</v>
      </c>
      <c r="D9" s="50" t="s">
        <v>32</v>
      </c>
      <c r="E9" s="49" t="s">
        <v>16</v>
      </c>
    </row>
    <row r="10" spans="2:7" ht="42.75" x14ac:dyDescent="0.2">
      <c r="B10" s="73"/>
      <c r="C10" s="49" t="s">
        <v>19</v>
      </c>
      <c r="D10" s="50" t="s">
        <v>33</v>
      </c>
      <c r="E10" s="49" t="s">
        <v>18</v>
      </c>
    </row>
    <row r="11" spans="2:7" ht="28.5" x14ac:dyDescent="0.2">
      <c r="B11" s="74" t="s">
        <v>38</v>
      </c>
      <c r="C11" s="51" t="s">
        <v>21</v>
      </c>
      <c r="D11" s="52" t="s">
        <v>34</v>
      </c>
      <c r="E11" s="51" t="s">
        <v>10</v>
      </c>
    </row>
    <row r="12" spans="2:7" x14ac:dyDescent="0.2">
      <c r="B12" s="74"/>
      <c r="C12" s="51" t="s">
        <v>22</v>
      </c>
      <c r="D12" s="52" t="s">
        <v>35</v>
      </c>
      <c r="E12" s="51" t="s">
        <v>13</v>
      </c>
    </row>
    <row r="13" spans="2:7" ht="28.5" x14ac:dyDescent="0.2">
      <c r="B13" s="74"/>
      <c r="C13" s="51" t="s">
        <v>23</v>
      </c>
      <c r="D13" s="52" t="s">
        <v>36</v>
      </c>
      <c r="E13" s="51" t="s">
        <v>19</v>
      </c>
    </row>
    <row r="14" spans="2:7" ht="28.5" x14ac:dyDescent="0.2">
      <c r="B14" s="74"/>
      <c r="C14" s="51" t="s">
        <v>24</v>
      </c>
      <c r="D14" s="52" t="s">
        <v>37</v>
      </c>
      <c r="E14" s="51" t="s">
        <v>23</v>
      </c>
    </row>
  </sheetData>
  <mergeCells count="4">
    <mergeCell ref="B3:B5"/>
    <mergeCell ref="B6:B8"/>
    <mergeCell ref="B9:B10"/>
    <mergeCell ref="B11:B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27"/>
  <sheetViews>
    <sheetView showGridLines="0" showRuler="0" zoomScale="80" zoomScaleNormal="80" zoomScalePageLayoutView="70" workbookViewId="0">
      <selection activeCell="AB13" sqref="AB13"/>
    </sheetView>
  </sheetViews>
  <sheetFormatPr defaultColWidth="8.75" defaultRowHeight="30" customHeight="1" x14ac:dyDescent="0.2"/>
  <cols>
    <col min="1" max="1" width="2.75" style="6" customWidth="1"/>
    <col min="2" max="2" width="17.75" customWidth="1"/>
    <col min="3" max="3" width="10.75" style="2" customWidth="1"/>
    <col min="4" max="4" width="12.5" customWidth="1"/>
    <col min="5" max="5" width="2.75" customWidth="1"/>
    <col min="6" max="6" width="6" hidden="1" customWidth="1"/>
    <col min="7" max="63" width="2.75" customWidth="1"/>
  </cols>
  <sheetData>
    <row r="1" spans="1:62" ht="57" customHeight="1" x14ac:dyDescent="0.5">
      <c r="A1" s="7"/>
      <c r="B1" s="75" t="s">
        <v>42</v>
      </c>
      <c r="C1" s="75"/>
      <c r="D1" s="75"/>
      <c r="F1" s="1"/>
      <c r="G1" s="85" t="s">
        <v>5</v>
      </c>
      <c r="H1" s="86"/>
      <c r="I1" s="86"/>
      <c r="J1" s="86"/>
      <c r="K1" s="86"/>
      <c r="L1" s="86"/>
      <c r="M1" s="86"/>
      <c r="N1" s="68"/>
      <c r="O1" s="83">
        <v>46111</v>
      </c>
      <c r="P1" s="84"/>
      <c r="Q1" s="84"/>
      <c r="R1" s="84"/>
      <c r="S1" s="84"/>
      <c r="T1" s="84"/>
      <c r="U1" s="84"/>
      <c r="V1" s="84"/>
      <c r="W1" s="84"/>
      <c r="X1" s="84"/>
    </row>
    <row r="2" spans="1:62" ht="30" customHeight="1" x14ac:dyDescent="0.5">
      <c r="C2" s="11"/>
      <c r="D2" s="10"/>
      <c r="G2" s="85" t="s">
        <v>6</v>
      </c>
      <c r="H2" s="86"/>
      <c r="I2" s="86"/>
      <c r="J2" s="86"/>
      <c r="K2" s="86"/>
      <c r="L2" s="86"/>
      <c r="M2" s="86"/>
      <c r="N2" s="68"/>
      <c r="O2" s="81">
        <v>1</v>
      </c>
      <c r="P2" s="82"/>
      <c r="Q2" s="82"/>
      <c r="R2" s="82"/>
      <c r="S2" s="82"/>
      <c r="T2" s="82"/>
      <c r="U2" s="82"/>
      <c r="V2" s="82"/>
      <c r="W2" s="82"/>
      <c r="X2" s="82"/>
    </row>
    <row r="3" spans="1:62" s="12" customFormat="1" ht="30" customHeight="1" x14ac:dyDescent="0.2">
      <c r="A3" s="6"/>
      <c r="B3" s="69" t="s">
        <v>41</v>
      </c>
      <c r="C3" s="13"/>
    </row>
    <row r="4" spans="1:62" s="12" customFormat="1" ht="30" customHeight="1" x14ac:dyDescent="0.2">
      <c r="A4" s="7"/>
      <c r="B4" s="14"/>
      <c r="C4" s="15"/>
      <c r="G4" s="78">
        <f>G5</f>
        <v>46111</v>
      </c>
      <c r="H4" s="76"/>
      <c r="I4" s="76"/>
      <c r="J4" s="76"/>
      <c r="K4" s="76"/>
      <c r="L4" s="76"/>
      <c r="M4" s="76"/>
      <c r="N4" s="76">
        <f>N5</f>
        <v>46118</v>
      </c>
      <c r="O4" s="76"/>
      <c r="P4" s="76"/>
      <c r="Q4" s="76"/>
      <c r="R4" s="76"/>
      <c r="S4" s="76"/>
      <c r="T4" s="76"/>
      <c r="U4" s="76">
        <f>U5</f>
        <v>46125</v>
      </c>
      <c r="V4" s="76"/>
      <c r="W4" s="76"/>
      <c r="X4" s="76"/>
      <c r="Y4" s="76"/>
      <c r="Z4" s="76"/>
      <c r="AA4" s="76"/>
      <c r="AB4" s="76">
        <f>AB5</f>
        <v>46132</v>
      </c>
      <c r="AC4" s="76"/>
      <c r="AD4" s="76"/>
      <c r="AE4" s="76"/>
      <c r="AF4" s="76"/>
      <c r="AG4" s="76"/>
      <c r="AH4" s="76"/>
      <c r="AI4" s="76">
        <f>AI5</f>
        <v>46139</v>
      </c>
      <c r="AJ4" s="76"/>
      <c r="AK4" s="76"/>
      <c r="AL4" s="76"/>
      <c r="AM4" s="76"/>
      <c r="AN4" s="76"/>
      <c r="AO4" s="76"/>
      <c r="AP4" s="76">
        <f>AP5</f>
        <v>46146</v>
      </c>
      <c r="AQ4" s="76"/>
      <c r="AR4" s="76"/>
      <c r="AS4" s="76"/>
      <c r="AT4" s="76"/>
      <c r="AU4" s="76"/>
      <c r="AV4" s="76"/>
      <c r="AW4" s="76">
        <f>AW5</f>
        <v>46153</v>
      </c>
      <c r="AX4" s="76"/>
      <c r="AY4" s="76"/>
      <c r="AZ4" s="76"/>
      <c r="BA4" s="76"/>
      <c r="BB4" s="76"/>
      <c r="BC4" s="76"/>
      <c r="BD4" s="76">
        <f>BD5</f>
        <v>46160</v>
      </c>
      <c r="BE4" s="76"/>
      <c r="BF4" s="76"/>
      <c r="BG4" s="76"/>
      <c r="BH4" s="76"/>
      <c r="BI4" s="76"/>
      <c r="BJ4" s="77"/>
    </row>
    <row r="5" spans="1:62" s="12" customFormat="1" ht="15" customHeight="1" x14ac:dyDescent="0.2">
      <c r="A5" s="87"/>
      <c r="B5" s="88" t="s">
        <v>3</v>
      </c>
      <c r="C5" s="79" t="s">
        <v>1</v>
      </c>
      <c r="D5" s="79" t="s">
        <v>2</v>
      </c>
      <c r="G5" s="16">
        <f>Project_Start-WEEKDAY(Project_Start,1)+2+7*(Display_Week-1)</f>
        <v>46111</v>
      </c>
      <c r="H5" s="16">
        <f>G5+1</f>
        <v>46112</v>
      </c>
      <c r="I5" s="16">
        <f t="shared" ref="I5:AV5" si="0">H5+1</f>
        <v>46113</v>
      </c>
      <c r="J5" s="16">
        <f t="shared" si="0"/>
        <v>46114</v>
      </c>
      <c r="K5" s="16">
        <f t="shared" si="0"/>
        <v>46115</v>
      </c>
      <c r="L5" s="16">
        <f t="shared" si="0"/>
        <v>46116</v>
      </c>
      <c r="M5" s="17">
        <f t="shared" si="0"/>
        <v>46117</v>
      </c>
      <c r="N5" s="18">
        <f>M5+1</f>
        <v>46118</v>
      </c>
      <c r="O5" s="16">
        <f>N5+1</f>
        <v>46119</v>
      </c>
      <c r="P5" s="16">
        <f t="shared" si="0"/>
        <v>46120</v>
      </c>
      <c r="Q5" s="16">
        <f t="shared" si="0"/>
        <v>46121</v>
      </c>
      <c r="R5" s="16">
        <f t="shared" si="0"/>
        <v>46122</v>
      </c>
      <c r="S5" s="16">
        <f t="shared" si="0"/>
        <v>46123</v>
      </c>
      <c r="T5" s="17">
        <f t="shared" si="0"/>
        <v>46124</v>
      </c>
      <c r="U5" s="18">
        <f>T5+1</f>
        <v>46125</v>
      </c>
      <c r="V5" s="16">
        <f>U5+1</f>
        <v>46126</v>
      </c>
      <c r="W5" s="16">
        <f t="shared" si="0"/>
        <v>46127</v>
      </c>
      <c r="X5" s="16">
        <f t="shared" si="0"/>
        <v>46128</v>
      </c>
      <c r="Y5" s="16">
        <f t="shared" si="0"/>
        <v>46129</v>
      </c>
      <c r="Z5" s="16">
        <f t="shared" si="0"/>
        <v>46130</v>
      </c>
      <c r="AA5" s="17">
        <f t="shared" si="0"/>
        <v>46131</v>
      </c>
      <c r="AB5" s="18">
        <f>AA5+1</f>
        <v>46132</v>
      </c>
      <c r="AC5" s="16">
        <f>AB5+1</f>
        <v>46133</v>
      </c>
      <c r="AD5" s="16">
        <f t="shared" si="0"/>
        <v>46134</v>
      </c>
      <c r="AE5" s="16">
        <f t="shared" si="0"/>
        <v>46135</v>
      </c>
      <c r="AF5" s="16">
        <f t="shared" si="0"/>
        <v>46136</v>
      </c>
      <c r="AG5" s="16">
        <f t="shared" si="0"/>
        <v>46137</v>
      </c>
      <c r="AH5" s="17">
        <f t="shared" si="0"/>
        <v>46138</v>
      </c>
      <c r="AI5" s="18">
        <f>AH5+1</f>
        <v>46139</v>
      </c>
      <c r="AJ5" s="16">
        <f>AI5+1</f>
        <v>46140</v>
      </c>
      <c r="AK5" s="16">
        <f t="shared" si="0"/>
        <v>46141</v>
      </c>
      <c r="AL5" s="16">
        <f t="shared" si="0"/>
        <v>46142</v>
      </c>
      <c r="AM5" s="16">
        <f t="shared" si="0"/>
        <v>46143</v>
      </c>
      <c r="AN5" s="16">
        <f t="shared" si="0"/>
        <v>46144</v>
      </c>
      <c r="AO5" s="17">
        <f t="shared" si="0"/>
        <v>46145</v>
      </c>
      <c r="AP5" s="18">
        <f>AO5+1</f>
        <v>46146</v>
      </c>
      <c r="AQ5" s="16">
        <f>AP5+1</f>
        <v>46147</v>
      </c>
      <c r="AR5" s="16">
        <f t="shared" si="0"/>
        <v>46148</v>
      </c>
      <c r="AS5" s="16">
        <f t="shared" si="0"/>
        <v>46149</v>
      </c>
      <c r="AT5" s="16">
        <f t="shared" si="0"/>
        <v>46150</v>
      </c>
      <c r="AU5" s="16">
        <f t="shared" si="0"/>
        <v>46151</v>
      </c>
      <c r="AV5" s="17">
        <f t="shared" si="0"/>
        <v>46152</v>
      </c>
      <c r="AW5" s="18">
        <f>AV5+1</f>
        <v>46153</v>
      </c>
      <c r="AX5" s="16">
        <f>AW5+1</f>
        <v>46154</v>
      </c>
      <c r="AY5" s="16">
        <f t="shared" ref="AY5:BC5" si="1">AX5+1</f>
        <v>46155</v>
      </c>
      <c r="AZ5" s="16">
        <f t="shared" si="1"/>
        <v>46156</v>
      </c>
      <c r="BA5" s="16">
        <f t="shared" si="1"/>
        <v>46157</v>
      </c>
      <c r="BB5" s="16">
        <f t="shared" si="1"/>
        <v>46158</v>
      </c>
      <c r="BC5" s="17">
        <f t="shared" si="1"/>
        <v>46159</v>
      </c>
      <c r="BD5" s="18">
        <f>BC5+1</f>
        <v>46160</v>
      </c>
      <c r="BE5" s="16">
        <f>BD5+1</f>
        <v>46161</v>
      </c>
      <c r="BF5" s="16">
        <f t="shared" ref="BF5:BJ5" si="2">BE5+1</f>
        <v>46162</v>
      </c>
      <c r="BG5" s="16">
        <f t="shared" si="2"/>
        <v>46163</v>
      </c>
      <c r="BH5" s="16">
        <f t="shared" si="2"/>
        <v>46164</v>
      </c>
      <c r="BI5" s="16">
        <f t="shared" si="2"/>
        <v>46165</v>
      </c>
      <c r="BJ5" s="16">
        <f t="shared" si="2"/>
        <v>46166</v>
      </c>
    </row>
    <row r="6" spans="1:62" s="12" customFormat="1" ht="15" customHeight="1" thickBot="1" x14ac:dyDescent="0.25">
      <c r="A6" s="87"/>
      <c r="B6" s="89"/>
      <c r="C6" s="80"/>
      <c r="D6" s="80"/>
      <c r="G6" s="19" t="str">
        <f t="shared" ref="G6:AL6" si="3">LEFT(TEXT(G5,"ddd"),1)</f>
        <v>M</v>
      </c>
      <c r="H6" s="20" t="str">
        <f t="shared" si="3"/>
        <v>T</v>
      </c>
      <c r="I6" s="20" t="str">
        <f t="shared" si="3"/>
        <v>W</v>
      </c>
      <c r="J6" s="20" t="str">
        <f t="shared" si="3"/>
        <v>T</v>
      </c>
      <c r="K6" s="20" t="str">
        <f t="shared" si="3"/>
        <v>F</v>
      </c>
      <c r="L6" s="20" t="str">
        <f t="shared" si="3"/>
        <v>S</v>
      </c>
      <c r="M6" s="20" t="str">
        <f t="shared" si="3"/>
        <v>S</v>
      </c>
      <c r="N6" s="20" t="str">
        <f t="shared" si="3"/>
        <v>M</v>
      </c>
      <c r="O6" s="20" t="str">
        <f t="shared" si="3"/>
        <v>T</v>
      </c>
      <c r="P6" s="20" t="str">
        <f t="shared" si="3"/>
        <v>W</v>
      </c>
      <c r="Q6" s="20" t="str">
        <f t="shared" si="3"/>
        <v>T</v>
      </c>
      <c r="R6" s="20" t="str">
        <f t="shared" si="3"/>
        <v>F</v>
      </c>
      <c r="S6" s="20" t="str">
        <f t="shared" si="3"/>
        <v>S</v>
      </c>
      <c r="T6" s="20" t="str">
        <f t="shared" si="3"/>
        <v>S</v>
      </c>
      <c r="U6" s="20" t="str">
        <f t="shared" si="3"/>
        <v>M</v>
      </c>
      <c r="V6" s="20" t="str">
        <f t="shared" si="3"/>
        <v>T</v>
      </c>
      <c r="W6" s="20" t="str">
        <f t="shared" si="3"/>
        <v>W</v>
      </c>
      <c r="X6" s="20" t="str">
        <f t="shared" si="3"/>
        <v>T</v>
      </c>
      <c r="Y6" s="20" t="str">
        <f t="shared" si="3"/>
        <v>F</v>
      </c>
      <c r="Z6" s="20" t="str">
        <f t="shared" si="3"/>
        <v>S</v>
      </c>
      <c r="AA6" s="20" t="str">
        <f t="shared" si="3"/>
        <v>S</v>
      </c>
      <c r="AB6" s="20" t="str">
        <f t="shared" si="3"/>
        <v>M</v>
      </c>
      <c r="AC6" s="20" t="str">
        <f t="shared" si="3"/>
        <v>T</v>
      </c>
      <c r="AD6" s="20" t="str">
        <f t="shared" si="3"/>
        <v>W</v>
      </c>
      <c r="AE6" s="20" t="str">
        <f t="shared" si="3"/>
        <v>T</v>
      </c>
      <c r="AF6" s="20" t="str">
        <f t="shared" si="3"/>
        <v>F</v>
      </c>
      <c r="AG6" s="20" t="str">
        <f t="shared" si="3"/>
        <v>S</v>
      </c>
      <c r="AH6" s="20" t="str">
        <f t="shared" si="3"/>
        <v>S</v>
      </c>
      <c r="AI6" s="20" t="str">
        <f t="shared" si="3"/>
        <v>M</v>
      </c>
      <c r="AJ6" s="20" t="str">
        <f t="shared" si="3"/>
        <v>T</v>
      </c>
      <c r="AK6" s="20" t="str">
        <f t="shared" si="3"/>
        <v>W</v>
      </c>
      <c r="AL6" s="20" t="str">
        <f t="shared" si="3"/>
        <v>T</v>
      </c>
      <c r="AM6" s="20" t="str">
        <f t="shared" ref="AM6:BJ6" si="4">LEFT(TEXT(AM5,"ddd"),1)</f>
        <v>F</v>
      </c>
      <c r="AN6" s="20" t="str">
        <f t="shared" si="4"/>
        <v>S</v>
      </c>
      <c r="AO6" s="20" t="str">
        <f t="shared" si="4"/>
        <v>S</v>
      </c>
      <c r="AP6" s="20" t="str">
        <f t="shared" si="4"/>
        <v>M</v>
      </c>
      <c r="AQ6" s="20" t="str">
        <f t="shared" si="4"/>
        <v>T</v>
      </c>
      <c r="AR6" s="20" t="str">
        <f t="shared" si="4"/>
        <v>W</v>
      </c>
      <c r="AS6" s="20" t="str">
        <f t="shared" si="4"/>
        <v>T</v>
      </c>
      <c r="AT6" s="20" t="str">
        <f t="shared" si="4"/>
        <v>F</v>
      </c>
      <c r="AU6" s="20" t="str">
        <f t="shared" si="4"/>
        <v>S</v>
      </c>
      <c r="AV6" s="20" t="str">
        <f t="shared" si="4"/>
        <v>S</v>
      </c>
      <c r="AW6" s="20" t="str">
        <f t="shared" si="4"/>
        <v>M</v>
      </c>
      <c r="AX6" s="20" t="str">
        <f t="shared" si="4"/>
        <v>T</v>
      </c>
      <c r="AY6" s="20" t="str">
        <f t="shared" si="4"/>
        <v>W</v>
      </c>
      <c r="AZ6" s="20" t="str">
        <f t="shared" si="4"/>
        <v>T</v>
      </c>
      <c r="BA6" s="20" t="str">
        <f t="shared" si="4"/>
        <v>F</v>
      </c>
      <c r="BB6" s="20" t="str">
        <f t="shared" si="4"/>
        <v>S</v>
      </c>
      <c r="BC6" s="20" t="str">
        <f t="shared" si="4"/>
        <v>S</v>
      </c>
      <c r="BD6" s="20" t="str">
        <f t="shared" si="4"/>
        <v>M</v>
      </c>
      <c r="BE6" s="20" t="str">
        <f t="shared" si="4"/>
        <v>T</v>
      </c>
      <c r="BF6" s="20" t="str">
        <f t="shared" si="4"/>
        <v>W</v>
      </c>
      <c r="BG6" s="20" t="str">
        <f t="shared" si="4"/>
        <v>T</v>
      </c>
      <c r="BH6" s="20" t="str">
        <f t="shared" si="4"/>
        <v>F</v>
      </c>
      <c r="BI6" s="20" t="str">
        <f t="shared" si="4"/>
        <v>S</v>
      </c>
      <c r="BJ6" s="21" t="str">
        <f t="shared" si="4"/>
        <v>S</v>
      </c>
    </row>
    <row r="7" spans="1:62" s="12" customFormat="1" ht="30" hidden="1" customHeight="1" thickBot="1" x14ac:dyDescent="0.25">
      <c r="A7" s="6" t="s">
        <v>4</v>
      </c>
      <c r="B7" s="22"/>
      <c r="C7" s="22"/>
      <c r="D7" s="22"/>
      <c r="F7" s="12" t="str">
        <f>IF(OR(ISBLANK(task_start),ISBLANK(task_end)),"",task_end-task_start+1)</f>
        <v/>
      </c>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row>
    <row r="8" spans="1:62" s="25" customFormat="1" ht="30" customHeight="1" thickBot="1" x14ac:dyDescent="0.25">
      <c r="A8" s="7"/>
      <c r="B8" s="66" t="s">
        <v>39</v>
      </c>
      <c r="C8" s="53"/>
      <c r="D8" s="53"/>
      <c r="E8" s="9"/>
      <c r="F8" s="4" t="str">
        <f t="shared" ref="F8:F25" si="5">IF(OR(ISBLANK(task_start),ISBLANK(task_end)),"",task_end-task_start+1)</f>
        <v/>
      </c>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row>
    <row r="9" spans="1:62" s="25" customFormat="1" ht="30" customHeight="1" thickBot="1" x14ac:dyDescent="0.25">
      <c r="A9" s="7"/>
      <c r="B9" s="54" t="s">
        <v>9</v>
      </c>
      <c r="C9" s="60">
        <f>Project_Start</f>
        <v>46111</v>
      </c>
      <c r="D9" s="60">
        <v>46117</v>
      </c>
      <c r="E9" s="9"/>
      <c r="F9" s="4">
        <f t="shared" si="5"/>
        <v>7</v>
      </c>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row>
    <row r="10" spans="1:62" s="25" customFormat="1" ht="30" customHeight="1" thickBot="1" x14ac:dyDescent="0.25">
      <c r="A10" s="7"/>
      <c r="B10" s="55" t="s">
        <v>11</v>
      </c>
      <c r="C10" s="61">
        <v>46118</v>
      </c>
      <c r="D10" s="61">
        <v>46131</v>
      </c>
      <c r="E10" s="9"/>
      <c r="F10" s="4">
        <f t="shared" si="5"/>
        <v>14</v>
      </c>
      <c r="G10" s="26"/>
      <c r="H10" s="26"/>
      <c r="I10" s="26"/>
      <c r="J10" s="26"/>
      <c r="K10" s="26"/>
      <c r="L10" s="26"/>
      <c r="M10" s="26"/>
      <c r="N10" s="26"/>
      <c r="O10" s="26"/>
      <c r="P10" s="26"/>
      <c r="Q10" s="26"/>
      <c r="R10" s="26"/>
      <c r="S10" s="27"/>
      <c r="T10" s="27"/>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row>
    <row r="11" spans="1:62" s="25" customFormat="1" ht="30" customHeight="1" thickBot="1" x14ac:dyDescent="0.25">
      <c r="A11" s="6"/>
      <c r="B11" s="55" t="s">
        <v>13</v>
      </c>
      <c r="C11" s="61">
        <v>46132</v>
      </c>
      <c r="D11" s="61">
        <v>46145</v>
      </c>
      <c r="E11" s="9"/>
      <c r="F11" s="4">
        <f t="shared" si="5"/>
        <v>14</v>
      </c>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row>
    <row r="12" spans="1:62" s="25" customFormat="1" ht="30" customHeight="1" thickBot="1" x14ac:dyDescent="0.25">
      <c r="A12" s="7"/>
      <c r="B12" s="65" t="s">
        <v>40</v>
      </c>
      <c r="C12" s="56"/>
      <c r="D12" s="56"/>
      <c r="E12" s="9"/>
      <c r="F12" s="4" t="str">
        <f t="shared" si="5"/>
        <v/>
      </c>
    </row>
    <row r="13" spans="1:62" s="25" customFormat="1" ht="30" customHeight="1" thickBot="1" x14ac:dyDescent="0.25">
      <c r="A13" s="7"/>
      <c r="B13" s="57" t="s">
        <v>14</v>
      </c>
      <c r="C13" s="62">
        <v>46169</v>
      </c>
      <c r="D13" s="62">
        <v>46180</v>
      </c>
      <c r="E13" s="9"/>
      <c r="F13" s="4">
        <f t="shared" si="5"/>
        <v>12</v>
      </c>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2" s="25" customFormat="1" ht="30" customHeight="1" thickBot="1" x14ac:dyDescent="0.25">
      <c r="A14" s="6"/>
      <c r="B14" s="57" t="s">
        <v>15</v>
      </c>
      <c r="C14" s="62">
        <v>46181</v>
      </c>
      <c r="D14" s="62">
        <v>46190</v>
      </c>
      <c r="E14" s="9"/>
      <c r="F14" s="4">
        <f t="shared" si="5"/>
        <v>10</v>
      </c>
      <c r="G14" s="26"/>
      <c r="H14" s="26"/>
      <c r="I14" s="26"/>
      <c r="J14" s="26"/>
      <c r="K14" s="26"/>
      <c r="L14" s="26"/>
      <c r="M14" s="26"/>
      <c r="N14" s="26"/>
      <c r="O14" s="26"/>
      <c r="P14" s="26"/>
      <c r="Q14" s="26"/>
      <c r="R14" s="26"/>
      <c r="S14" s="27"/>
      <c r="T14" s="27"/>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row>
    <row r="15" spans="1:62" s="25" customFormat="1" ht="30" customHeight="1" thickBot="1" x14ac:dyDescent="0.25">
      <c r="A15" s="6"/>
      <c r="B15" s="57" t="s">
        <v>16</v>
      </c>
      <c r="C15" s="62">
        <v>46191</v>
      </c>
      <c r="D15" s="62">
        <v>46201</v>
      </c>
      <c r="E15" s="9"/>
      <c r="F15" s="4">
        <f t="shared" si="5"/>
        <v>11</v>
      </c>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2" s="25" customFormat="1" ht="30" customHeight="1" thickBot="1" x14ac:dyDescent="0.25">
      <c r="A16" s="6"/>
      <c r="B16" s="28" t="s">
        <v>17</v>
      </c>
      <c r="C16" s="29"/>
      <c r="D16" s="30"/>
      <c r="E16" s="9"/>
      <c r="F16" s="4" t="str">
        <f t="shared" si="5"/>
        <v/>
      </c>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row>
    <row r="17" spans="1:62" s="25" customFormat="1" ht="30" customHeight="1" thickBot="1" x14ac:dyDescent="0.25">
      <c r="A17" s="6"/>
      <c r="B17" s="32" t="s">
        <v>18</v>
      </c>
      <c r="C17" s="63">
        <v>46202</v>
      </c>
      <c r="D17" s="63">
        <v>46211</v>
      </c>
      <c r="E17" s="9"/>
      <c r="F17" s="4">
        <f t="shared" si="5"/>
        <v>10</v>
      </c>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row>
    <row r="18" spans="1:62" s="25" customFormat="1" ht="30" customHeight="1" thickBot="1" x14ac:dyDescent="0.25">
      <c r="A18" s="6"/>
      <c r="B18" s="32" t="s">
        <v>19</v>
      </c>
      <c r="C18" s="63">
        <v>46212</v>
      </c>
      <c r="D18" s="63">
        <v>46222</v>
      </c>
      <c r="E18" s="9"/>
      <c r="F18" s="4">
        <f t="shared" si="5"/>
        <v>11</v>
      </c>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row>
    <row r="19" spans="1:62" s="25" customFormat="1" ht="30" customHeight="1" thickBot="1" x14ac:dyDescent="0.25">
      <c r="A19" s="6"/>
      <c r="B19" s="67" t="s">
        <v>20</v>
      </c>
      <c r="C19" s="58"/>
      <c r="D19" s="58"/>
      <c r="E19" s="9"/>
      <c r="F19" s="4" t="str">
        <f t="shared" si="5"/>
        <v/>
      </c>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row>
    <row r="20" spans="1:62" s="25" customFormat="1" ht="30" customHeight="1" thickBot="1" x14ac:dyDescent="0.25">
      <c r="A20" s="6"/>
      <c r="B20" s="59" t="s">
        <v>21</v>
      </c>
      <c r="C20" s="64">
        <v>46146</v>
      </c>
      <c r="D20" s="64">
        <v>46168</v>
      </c>
      <c r="E20" s="9"/>
      <c r="F20" s="4">
        <f t="shared" si="5"/>
        <v>23</v>
      </c>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row>
    <row r="21" spans="1:62" s="25" customFormat="1" ht="30" customHeight="1" thickBot="1" x14ac:dyDescent="0.25">
      <c r="A21" s="6"/>
      <c r="B21" s="59" t="s">
        <v>22</v>
      </c>
      <c r="C21" s="64">
        <v>46169</v>
      </c>
      <c r="D21" s="64">
        <v>46187</v>
      </c>
      <c r="E21" s="9"/>
      <c r="F21" s="4">
        <f t="shared" si="5"/>
        <v>19</v>
      </c>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row>
    <row r="22" spans="1:62" s="25" customFormat="1" ht="30" customHeight="1" thickBot="1" x14ac:dyDescent="0.25">
      <c r="A22" s="6"/>
      <c r="B22" s="59" t="s">
        <v>23</v>
      </c>
      <c r="C22" s="64">
        <v>46223</v>
      </c>
      <c r="D22" s="64">
        <v>46229</v>
      </c>
      <c r="E22" s="9"/>
      <c r="F22" s="4">
        <f t="shared" si="5"/>
        <v>7</v>
      </c>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row>
    <row r="23" spans="1:62" s="25" customFormat="1" ht="30" customHeight="1" thickBot="1" x14ac:dyDescent="0.25">
      <c r="A23" s="6"/>
      <c r="B23" s="59" t="s">
        <v>24</v>
      </c>
      <c r="C23" s="64">
        <v>46230</v>
      </c>
      <c r="D23" s="64">
        <v>46233</v>
      </c>
      <c r="E23" s="9"/>
      <c r="F23" s="4">
        <f t="shared" si="5"/>
        <v>4</v>
      </c>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row>
    <row r="24" spans="1:62" s="25" customFormat="1" ht="30" customHeight="1" thickBot="1" x14ac:dyDescent="0.25">
      <c r="A24" s="6"/>
      <c r="B24" s="34"/>
      <c r="C24" s="35"/>
      <c r="D24" s="35"/>
      <c r="E24" s="9"/>
      <c r="F24" s="4" t="str">
        <f t="shared" si="5"/>
        <v/>
      </c>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row>
    <row r="25" spans="1:62" s="25" customFormat="1" ht="30" customHeight="1" thickBot="1" x14ac:dyDescent="0.25">
      <c r="A25" s="7"/>
      <c r="B25" s="36" t="s">
        <v>0</v>
      </c>
      <c r="C25" s="37"/>
      <c r="D25" s="38"/>
      <c r="E25" s="9"/>
      <c r="F25" s="5" t="str">
        <f t="shared" si="5"/>
        <v/>
      </c>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row>
    <row r="26" spans="1:62" ht="30" customHeight="1" x14ac:dyDescent="0.2">
      <c r="E26" s="3"/>
    </row>
    <row r="27" spans="1:62" ht="30" customHeight="1" x14ac:dyDescent="0.2">
      <c r="D27" s="8"/>
    </row>
  </sheetData>
  <mergeCells count="17">
    <mergeCell ref="A5:A6"/>
    <mergeCell ref="B5:B6"/>
    <mergeCell ref="C5:C6"/>
    <mergeCell ref="D5:D6"/>
    <mergeCell ref="O2:X2"/>
    <mergeCell ref="O1:X1"/>
    <mergeCell ref="G1:M1"/>
    <mergeCell ref="G2:M2"/>
    <mergeCell ref="B1:D1"/>
    <mergeCell ref="BD4:BJ4"/>
    <mergeCell ref="G4:M4"/>
    <mergeCell ref="N4:T4"/>
    <mergeCell ref="U4:AA4"/>
    <mergeCell ref="AB4:AH4"/>
    <mergeCell ref="AI4:AO4"/>
    <mergeCell ref="AP4:AV4"/>
    <mergeCell ref="AW4:BC4"/>
  </mergeCells>
  <conditionalFormatting sqref="G4:BJ23">
    <cfRule type="expression" dxfId="8" priority="1">
      <formula>AND(TODAY()&gt;=G$5, TODAY()&lt;H$5)</formula>
    </cfRule>
  </conditionalFormatting>
  <conditionalFormatting sqref="G9:BJ11">
    <cfRule type="expression" dxfId="7" priority="6">
      <formula>AND(task_start&lt;=G$5,ROUNDDOWN((task_end-task_start+1)*task_progress,0)+task_start-1&gt;=G$5)</formula>
    </cfRule>
    <cfRule type="expression" dxfId="6" priority="7" stopIfTrue="1">
      <formula>AND(task_end&gt;=G$5,task_start&lt;H$5)</formula>
    </cfRule>
  </conditionalFormatting>
  <conditionalFormatting sqref="G13:BJ15">
    <cfRule type="expression" dxfId="5" priority="4">
      <formula>AND(task_start&lt;=G$5,ROUNDDOWN((task_end-task_start+1)*task_progress,0)+task_start-1&gt;=G$5)</formula>
    </cfRule>
    <cfRule type="expression" dxfId="4" priority="5" stopIfTrue="1">
      <formula>AND(task_end&gt;=G$5,task_start&lt;H$5)</formula>
    </cfRule>
  </conditionalFormatting>
  <conditionalFormatting sqref="G17:BJ18">
    <cfRule type="expression" dxfId="3" priority="2">
      <formula>AND(task_start&lt;=G$5,ROUNDDOWN((task_end-task_start+1)*task_progress,0)+task_start-1&gt;=G$5)</formula>
    </cfRule>
    <cfRule type="expression" dxfId="2" priority="3" stopIfTrue="1">
      <formula>AND(task_end&gt;=G$5,task_start&lt;H$5)</formula>
    </cfRule>
  </conditionalFormatting>
  <conditionalFormatting sqref="G20:BJ23">
    <cfRule type="expression" dxfId="1" priority="36">
      <formula>AND(task_start&lt;=G$5,ROUNDDOWN((task_end-task_start+1)*task_progress,0)+task_start-1&gt;=G$5)</formula>
    </cfRule>
    <cfRule type="expression" dxfId="0" priority="37" stopIfTrue="1">
      <formula>AND(task_end&gt;=G$5,task_start&lt;H$5)</formula>
    </cfRule>
  </conditionalFormatting>
  <dataValidations count="13">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19"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5" xr:uid="{79B9237E-4DD3-4E0F-8ED6-E0B695A99D96}"/>
  </dataValidations>
  <printOptions horizontalCentered="1"/>
  <pageMargins left="0.35" right="0.35" top="0.35" bottom="0.5" header="0.3" footer="0.3"/>
  <pageSetup scale="60" fitToHeight="0" orientation="landscape" r:id="rId1"/>
  <headerFooter differentFirst="1" scaleWithDoc="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Sheet1</vt:lpstr>
      <vt:lpstr>Project schedule</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lihao.zhou2241</dc:creator>
  <dc:description/>
  <cp:lastModifiedBy>lihao.zhou2241</cp:lastModifiedBy>
  <dcterms:created xsi:type="dcterms:W3CDTF">2022-03-11T22:41:12Z</dcterms:created>
  <dcterms:modified xsi:type="dcterms:W3CDTF">2026-03-29T11:56:15Z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