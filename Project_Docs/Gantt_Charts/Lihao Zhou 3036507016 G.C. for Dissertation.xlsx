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codeName="ThisWorkbook"/>
  <mc:AlternateContent xmlns:mc="http://schemas.openxmlformats.org/markup-compatibility/2006">
    <mc:Choice Requires="x15">
      <x15ac:absPath xmlns:x15ac="http://schemas.microsoft.com/office/spreadsheetml/2010/11/ac" url="E:\iCloudDrive\Desktop\University of Hong Kong\IDAT7100 Dissertation\"/>
    </mc:Choice>
  </mc:AlternateContent>
  <xr:revisionPtr revIDLastSave="0" documentId="13_ncr:1_{797094F7-86EF-492D-A98D-BD65AD381FF8}" xr6:coauthVersionLast="47" xr6:coauthVersionMax="47" xr10:uidLastSave="{00000000-0000-0000-0000-000000000000}"/>
  <bookViews>
    <workbookView xWindow="11655" yWindow="840" windowWidth="28560" windowHeight="16110" xr2:uid="{00000000-000D-0000-FFFF-FFFF00000000}"/>
  </bookViews>
  <sheets>
    <sheet name="GanttChart" sheetId="9" r:id="rId1"/>
    <sheet name="Help" sheetId="6" r:id="rId2"/>
    <sheet name="TermsOfUse" sheetId="11" r:id="rId3"/>
  </sheets>
  <definedNames>
    <definedName name="prevWBS" localSheetId="0">GanttChart!$A1048576</definedName>
    <definedName name="_xlnm.Print_Area" localSheetId="0">GanttChart!$A$1:$BM$27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 i="9" l="1"/>
  <c r="F25" i="9"/>
  <c r="E25" i="9"/>
  <c r="F24" i="9"/>
  <c r="F23" i="9"/>
  <c r="E23" i="9"/>
  <c r="F22" i="9"/>
  <c r="E22" i="9"/>
  <c r="F21" i="9"/>
  <c r="F20" i="9"/>
  <c r="E20" i="9"/>
  <c r="F19" i="9"/>
  <c r="E19" i="9"/>
  <c r="F18" i="9"/>
  <c r="F17" i="9"/>
  <c r="E17" i="9"/>
  <c r="F15" i="9"/>
  <c r="E16" i="9" s="1"/>
  <c r="F13" i="9"/>
  <c r="F12" i="9"/>
  <c r="F10" i="9"/>
  <c r="E11" i="9" s="1"/>
  <c r="F11" i="9" s="1"/>
  <c r="F9" i="9"/>
  <c r="J6" i="9"/>
  <c r="J5" i="9" s="1"/>
  <c r="J7" i="9" l="1"/>
  <c r="J4" i="9"/>
  <c r="F8" i="9"/>
  <c r="F16" i="9"/>
  <c r="F14" i="9" s="1"/>
  <c r="E14" i="9"/>
  <c r="K6" i="9"/>
  <c r="E8" i="9"/>
  <c r="G8" i="9" l="1"/>
  <c r="L6" i="9"/>
  <c r="K7" i="9"/>
  <c r="G14" i="9"/>
  <c r="M6" i="9" l="1"/>
  <c r="L7" i="9"/>
  <c r="N6" i="9" l="1"/>
  <c r="M7" i="9"/>
  <c r="O6" i="9" l="1"/>
  <c r="N7" i="9"/>
  <c r="P6" i="9" l="1"/>
  <c r="O7" i="9"/>
  <c r="Q6" i="9" l="1"/>
  <c r="P7" i="9"/>
  <c r="Q5" i="9" l="1"/>
  <c r="Q7" i="9"/>
  <c r="Q4" i="9"/>
  <c r="R6" i="9"/>
  <c r="S6" i="9" l="1"/>
  <c r="R7" i="9"/>
  <c r="S7" i="9" l="1"/>
  <c r="T6" i="9"/>
  <c r="T7" i="9" l="1"/>
  <c r="U6" i="9"/>
  <c r="U7" i="9" l="1"/>
  <c r="V6" i="9"/>
  <c r="W6" i="9" l="1"/>
  <c r="V7" i="9"/>
  <c r="X6" i="9" l="1"/>
  <c r="W7" i="9"/>
  <c r="X5" i="9" l="1"/>
  <c r="Y6" i="9"/>
  <c r="X7" i="9"/>
  <c r="X4" i="9"/>
  <c r="Z6" i="9" l="1"/>
  <c r="Y7" i="9"/>
  <c r="AA6" i="9" l="1"/>
  <c r="Z7" i="9"/>
  <c r="AB6" i="9" l="1"/>
  <c r="AA7" i="9"/>
  <c r="AC6" i="9" l="1"/>
  <c r="AB7" i="9"/>
  <c r="AC7" i="9" l="1"/>
  <c r="AD6" i="9"/>
  <c r="AD7" i="9" l="1"/>
  <c r="AE6" i="9"/>
  <c r="AE5" i="9" l="1"/>
  <c r="AE7" i="9"/>
  <c r="AE4" i="9"/>
  <c r="AF6" i="9"/>
  <c r="AF7" i="9" l="1"/>
  <c r="AG6" i="9"/>
  <c r="AG7" i="9" l="1"/>
  <c r="AH6" i="9"/>
  <c r="AH7" i="9" l="1"/>
  <c r="AI6" i="9"/>
  <c r="AJ6" i="9" l="1"/>
  <c r="AI7" i="9"/>
  <c r="AK6" i="9" l="1"/>
  <c r="AJ7" i="9"/>
  <c r="AL6" i="9" l="1"/>
  <c r="AK7" i="9"/>
  <c r="AM6" i="9" l="1"/>
  <c r="AL5" i="9"/>
  <c r="AL4" i="9"/>
  <c r="AL7" i="9"/>
  <c r="AN6" i="9" l="1"/>
  <c r="AM7" i="9"/>
  <c r="AO6" i="9" l="1"/>
  <c r="AN7" i="9"/>
  <c r="AP6" i="9" l="1"/>
  <c r="AO7" i="9"/>
  <c r="AQ6" i="9" l="1"/>
  <c r="AP7" i="9"/>
  <c r="AR6" i="9" l="1"/>
  <c r="AQ7" i="9"/>
  <c r="AR7" i="9" l="1"/>
  <c r="AS6" i="9"/>
  <c r="AS7" i="9" l="1"/>
  <c r="AS4" i="9"/>
  <c r="AS5" i="9"/>
  <c r="AT6" i="9"/>
  <c r="AT7" i="9" l="1"/>
  <c r="AU6" i="9"/>
  <c r="AV6" i="9" l="1"/>
  <c r="AU7" i="9"/>
  <c r="AW6" i="9" l="1"/>
  <c r="AV7" i="9"/>
  <c r="AX6" i="9" l="1"/>
  <c r="AW7" i="9"/>
  <c r="AY6" i="9" l="1"/>
  <c r="AX7" i="9"/>
  <c r="AZ6" i="9" l="1"/>
  <c r="AY7" i="9"/>
  <c r="BA6" i="9" l="1"/>
  <c r="AZ4" i="9"/>
  <c r="AZ7" i="9"/>
  <c r="AZ5" i="9"/>
  <c r="BA7" i="9" l="1"/>
  <c r="BB6" i="9"/>
  <c r="BC6" i="9" l="1"/>
  <c r="BB7" i="9"/>
  <c r="BC7" i="9" l="1"/>
  <c r="BD6" i="9"/>
  <c r="BD7" i="9" l="1"/>
  <c r="BE6" i="9"/>
  <c r="BE7" i="9" l="1"/>
  <c r="BF6" i="9"/>
  <c r="BF7" i="9" l="1"/>
  <c r="BG6" i="9"/>
  <c r="BH6" i="9" l="1"/>
  <c r="BG4" i="9"/>
  <c r="BG5" i="9"/>
  <c r="BG7" i="9"/>
  <c r="BH7" i="9" l="1"/>
  <c r="BI6" i="9"/>
  <c r="BJ6" i="9" l="1"/>
  <c r="BI7" i="9"/>
  <c r="BK6" i="9" l="1"/>
  <c r="BJ7" i="9"/>
  <c r="BL6" i="9" l="1"/>
  <c r="BK7" i="9"/>
  <c r="BM6" i="9" l="1"/>
  <c r="BM7" i="9" s="1"/>
  <c r="BL7"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rFont val="Tahoma"/>
            <charset val="134"/>
          </rPr>
          <t>Work Breakdown Structure</t>
        </r>
        <r>
          <rPr>
            <sz val="9"/>
            <rFont val="Tahoma"/>
            <charset val="134"/>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rFont val="Tahoma"/>
            <charset val="134"/>
          </rPr>
          <t>Task Description</t>
        </r>
        <r>
          <rPr>
            <sz val="9"/>
            <rFont val="Tahoma"/>
            <charset val="134"/>
          </rPr>
          <t xml:space="preserve">
Enter the name of each task and sub-task. Use indents for sub-tasks.</t>
        </r>
      </text>
    </comment>
    <comment ref="C7" authorId="0" shapeId="0" xr:uid="{00000000-0006-0000-0000-000003000000}">
      <text>
        <r>
          <rPr>
            <b/>
            <sz val="9"/>
            <rFont val="Tahoma"/>
            <charset val="134"/>
          </rPr>
          <t>Task Lead</t>
        </r>
        <r>
          <rPr>
            <sz val="9"/>
            <rFont val="Tahoma"/>
            <charset val="134"/>
          </rPr>
          <t xml:space="preserve">
Enter the name of the Task Lead in this column.</t>
        </r>
      </text>
    </comment>
    <comment ref="D7" authorId="0" shapeId="0" xr:uid="{00000000-0006-0000-0000-000004000000}">
      <text>
        <r>
          <rPr>
            <b/>
            <sz val="9"/>
            <rFont val="Tahoma"/>
            <charset val="134"/>
          </rPr>
          <t xml:space="preserve">Predecessor Tasks:
</t>
        </r>
        <r>
          <rPr>
            <sz val="9"/>
            <rFont val="Tahoma"/>
            <charset val="134"/>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rFont val="Tahoma"/>
            <charset val="134"/>
          </rPr>
          <t>Task Start Date</t>
        </r>
        <r>
          <rPr>
            <sz val="9"/>
            <rFont val="Tahoma"/>
            <charset val="134"/>
          </rPr>
          <t xml:space="preserve">
You can manually enter the Start Date for each task or use a formula to create a dependency on a Predecessor. For example, you could enter </t>
        </r>
        <r>
          <rPr>
            <b/>
            <sz val="9"/>
            <rFont val="Tahoma"/>
            <charset val="134"/>
          </rPr>
          <t>=</t>
        </r>
        <r>
          <rPr>
            <b/>
            <i/>
            <sz val="9"/>
            <rFont val="Tahoma"/>
            <charset val="134"/>
          </rPr>
          <t>enddate</t>
        </r>
        <r>
          <rPr>
            <b/>
            <sz val="9"/>
            <rFont val="Tahoma"/>
            <charset val="134"/>
          </rPr>
          <t>+1</t>
        </r>
        <r>
          <rPr>
            <sz val="9"/>
            <rFont val="Tahoma"/>
            <charset val="134"/>
          </rPr>
          <t xml:space="preserve"> to set the Start date to the next calendar day, or </t>
        </r>
        <r>
          <rPr>
            <b/>
            <sz val="9"/>
            <rFont val="Tahoma"/>
            <charset val="134"/>
          </rPr>
          <t>=WORKDAY(</t>
        </r>
        <r>
          <rPr>
            <b/>
            <i/>
            <sz val="9"/>
            <rFont val="Tahoma"/>
            <charset val="134"/>
          </rPr>
          <t>enddate</t>
        </r>
        <r>
          <rPr>
            <b/>
            <sz val="9"/>
            <rFont val="Tahoma"/>
            <charset val="134"/>
          </rPr>
          <t>,1)</t>
        </r>
        <r>
          <rPr>
            <sz val="9"/>
            <rFont val="Tahoma"/>
            <charset val="134"/>
          </rPr>
          <t xml:space="preserve"> to set the Start date to the next work day (excluding weekends), where </t>
        </r>
        <r>
          <rPr>
            <i/>
            <sz val="9"/>
            <rFont val="Tahoma"/>
            <charset val="134"/>
          </rPr>
          <t>enddate</t>
        </r>
        <r>
          <rPr>
            <sz val="9"/>
            <rFont val="Tahoma"/>
            <charset val="134"/>
          </rPr>
          <t xml:space="preserve"> is the cell reference for the End date of the Predecessor task.</t>
        </r>
      </text>
    </comment>
    <comment ref="F7" authorId="1" shapeId="0" xr:uid="{00000000-0006-0000-0000-000006000000}">
      <text>
        <r>
          <rPr>
            <b/>
            <sz val="9"/>
            <rFont val="Tahoma"/>
            <charset val="134"/>
          </rPr>
          <t>End Date:</t>
        </r>
        <r>
          <rPr>
            <sz val="9"/>
            <rFont val="Tahoma"/>
            <charset val="134"/>
          </rPr>
          <t xml:space="preserve">
The End Date is calculated based on the Start Date and the Calendar Days columns.</t>
        </r>
      </text>
    </comment>
    <comment ref="G7" authorId="0" shapeId="0" xr:uid="{00000000-0006-0000-0000-000007000000}">
      <text>
        <r>
          <rPr>
            <b/>
            <sz val="9"/>
            <rFont val="Tahoma"/>
            <charset val="134"/>
          </rPr>
          <t>Duration (Calendar Days)</t>
        </r>
        <r>
          <rPr>
            <sz val="9"/>
            <rFont val="Tahoma"/>
            <charset val="134"/>
          </rPr>
          <t xml:space="preserve">
The duration is the number of calendar days for the given task. The duration is calculated as the </t>
        </r>
        <r>
          <rPr>
            <b/>
            <sz val="9"/>
            <rFont val="Tahoma"/>
            <charset val="134"/>
          </rPr>
          <t>End</t>
        </r>
        <r>
          <rPr>
            <sz val="9"/>
            <rFont val="Tahoma"/>
            <charset val="134"/>
          </rPr>
          <t xml:space="preserve"> Date minus the </t>
        </r>
        <r>
          <rPr>
            <b/>
            <sz val="9"/>
            <rFont val="Tahoma"/>
            <charset val="134"/>
          </rPr>
          <t>Start</t>
        </r>
        <r>
          <rPr>
            <sz val="9"/>
            <rFont val="Tahoma"/>
            <charset val="134"/>
          </rPr>
          <t xml:space="preserve"> Date plus 1 day, so that a task starting and ending on the same day has a duration of 1 day.
</t>
        </r>
        <r>
          <rPr>
            <b/>
            <sz val="9"/>
            <rFont val="Tahoma"/>
            <charset val="134"/>
          </rPr>
          <t>Note:</t>
        </r>
        <r>
          <rPr>
            <sz val="9"/>
            <rFont val="Tahoma"/>
            <charset val="134"/>
          </rPr>
          <t xml:space="preserve"> The conditional formatting used to create the gantt chart references this column.</t>
        </r>
      </text>
    </comment>
    <comment ref="H7" authorId="0" shapeId="0" xr:uid="{00000000-0006-0000-0000-000008000000}">
      <text>
        <r>
          <rPr>
            <b/>
            <sz val="9"/>
            <rFont val="Tahoma"/>
            <charset val="134"/>
          </rPr>
          <t>Percent Complete</t>
        </r>
        <r>
          <rPr>
            <sz val="9"/>
            <rFont val="Tahoma"/>
            <charset val="134"/>
          </rPr>
          <t xml:space="preserve">
Update the status of this task by entering the percent complete (between 0% and 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Vertex42</author>
  </authors>
  <commentList>
    <comment ref="C16" authorId="0" shapeId="0" xr:uid="{00000000-0006-0000-0200-000001000000}">
      <text>
        <r>
          <rPr>
            <sz val="8"/>
            <rFont val="Tahoma"/>
            <charset val="134"/>
          </rPr>
          <t>This is an example comment.</t>
        </r>
      </text>
    </comment>
  </commentList>
</comments>
</file>

<file path=xl/sharedStrings.xml><?xml version="1.0" encoding="utf-8"?>
<sst xmlns="http://schemas.openxmlformats.org/spreadsheetml/2006/main" count="133" uniqueCount="125">
  <si>
    <t>Embodied Intelligence Dexterous Hand Industrial Design</t>
  </si>
  <si>
    <t>The University of Hong Kong</t>
  </si>
  <si>
    <t xml:space="preserve">Project Start Date </t>
  </si>
  <si>
    <t xml:space="preserve">Display Week </t>
  </si>
  <si>
    <t>WBS</t>
  </si>
  <si>
    <t>TASK</t>
  </si>
  <si>
    <t>LEAD</t>
  </si>
  <si>
    <t>PREDECESSOR</t>
  </si>
  <si>
    <t>START</t>
  </si>
  <si>
    <t>END</t>
  </si>
  <si>
    <t>DAYS</t>
  </si>
  <si>
    <t>% DONE</t>
  </si>
  <si>
    <t xml:space="preserve">Phase 1 </t>
  </si>
  <si>
    <t>Problem Definition</t>
  </si>
  <si>
    <t>1.1.</t>
  </si>
  <si>
    <t>Define Problem, Market research</t>
  </si>
  <si>
    <t>1.2.</t>
  </si>
  <si>
    <t>1.3.</t>
  </si>
  <si>
    <t>EXAMINATION PERIOD</t>
  </si>
  <si>
    <t>Interim Assessment(TBA)</t>
  </si>
  <si>
    <t>Phase 2</t>
  </si>
  <si>
    <t>Concept Design and Tech prep</t>
  </si>
  <si>
    <t>2.1.</t>
  </si>
  <si>
    <t>2.2.</t>
  </si>
  <si>
    <t>Phase 3</t>
  </si>
  <si>
    <t>Technical details</t>
  </si>
  <si>
    <t>3.1.</t>
  </si>
  <si>
    <t>3.2.</t>
  </si>
  <si>
    <t>Phase 4</t>
  </si>
  <si>
    <t>Assembly, fast iteration</t>
  </si>
  <si>
    <t>4.1.</t>
  </si>
  <si>
    <t>4.2.</t>
  </si>
  <si>
    <t>Phase 5</t>
  </si>
  <si>
    <t>Thesis preparation and defend</t>
  </si>
  <si>
    <t>5.1.</t>
  </si>
  <si>
    <t>5.2.</t>
  </si>
  <si>
    <t>https://www.vertex42.com/ExcelTemplates/excel-gantt-chart.html</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</si>
  <si>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</si>
  <si>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</si>
  <si>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</si>
  <si>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</si>
  <si>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</si>
  <si>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</si>
  <si>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</si>
  <si>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</si>
  <si>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</si>
  <si>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</si>
  <si>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</si>
  <si>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</si>
  <si>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</si>
  <si>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</si>
  <si>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</si>
  <si>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</si>
  <si>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rPr>
        <sz val="11"/>
        <color rgb="FFFF0000"/>
        <rFont val="Arial"/>
        <charset val="134"/>
      </rPr>
      <t xml:space="preserve">• </t>
    </r>
    <r>
      <rPr>
        <b/>
        <sz val="11"/>
        <color rgb="FFFF0000"/>
        <rFont val="Arial"/>
        <charset val="134"/>
      </rPr>
      <t>Backup</t>
    </r>
    <r>
      <rPr>
        <sz val="11"/>
        <color rgb="FFFF0000"/>
        <rFont val="Arial"/>
        <charset val="134"/>
      </rPr>
      <t xml:space="preserve"> your file regularly to avoid losing data! Excel files get corrupted occasionally.</t>
    </r>
  </si>
  <si>
    <t>Inserting New Tasks (Rows)</t>
  </si>
  <si>
    <r>
      <rPr>
        <sz val="11"/>
        <rFont val="Arial"/>
        <charset val="134"/>
      </rPr>
      <t xml:space="preserve">When inserting and deleting tasks, you need to insert and delete </t>
    </r>
    <r>
      <rPr>
        <b/>
        <sz val="11"/>
        <rFont val="Arial"/>
        <charset val="134"/>
      </rPr>
      <t>entire rows</t>
    </r>
    <r>
      <rPr>
        <sz val="11"/>
        <rFont val="Arial"/>
        <charset val="134"/>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</si>
  <si>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</si>
  <si>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</si>
  <si>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</si>
  <si>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</si>
  <si>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</si>
  <si>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</si>
  <si>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</si>
  <si>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</si>
  <si>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</si>
  <si>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</si>
  <si>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</si>
  <si>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</si>
  <si>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</si>
  <si>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</si>
  <si>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</si>
  <si>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</si>
  <si>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</si>
  <si>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</si>
  <si>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</si>
  <si>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</si>
  <si>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</si>
  <si>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</si>
  <si>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rPr>
        <sz val="11"/>
        <rFont val="Arial"/>
        <charset val="134"/>
      </rPr>
      <t>• Use the formula =WORKDAY(</t>
    </r>
    <r>
      <rPr>
        <i/>
        <sz val="11"/>
        <rFont val="Arial"/>
        <charset val="134"/>
      </rPr>
      <t>enddate</t>
    </r>
    <r>
      <rPr>
        <sz val="11"/>
        <rFont val="Arial"/>
        <charset val="134"/>
      </rPr>
      <t xml:space="preserve">,1) where </t>
    </r>
    <r>
      <rPr>
        <i/>
        <sz val="11"/>
        <rFont val="Arial"/>
        <charset val="134"/>
      </rPr>
      <t>enddate</t>
    </r>
    <r>
      <rPr>
        <sz val="11"/>
        <rFont val="Arial"/>
        <charset val="134"/>
      </rPr>
      <t xml:space="preserve"> is the reference to the End date of a predecessor task.</t>
    </r>
  </si>
  <si>
    <r>
      <rPr>
        <sz val="11"/>
        <rFont val="Arial"/>
        <charset val="134"/>
      </rPr>
      <t>• For multiple predecessors, the formula would be =MAX(WORKDAY(</t>
    </r>
    <r>
      <rPr>
        <i/>
        <sz val="11"/>
        <rFont val="Arial"/>
        <charset val="134"/>
      </rPr>
      <t>enddate1</t>
    </r>
    <r>
      <rPr>
        <sz val="11"/>
        <rFont val="Arial"/>
        <charset val="134"/>
      </rPr>
      <t>,1),WORKDAY(</t>
    </r>
    <r>
      <rPr>
        <i/>
        <sz val="11"/>
        <rFont val="Arial"/>
        <charset val="134"/>
      </rPr>
      <t>enddate2</t>
    </r>
    <r>
      <rPr>
        <sz val="11"/>
        <rFont val="Arial"/>
        <charset val="134"/>
      </rPr>
      <t>,1))</t>
    </r>
  </si>
  <si>
    <t>D.</t>
  </si>
  <si>
    <t>Set the Start date to the next Calendar Day after another task's End date.</t>
  </si>
  <si>
    <r>
      <rPr>
        <sz val="11"/>
        <rFont val="Arial"/>
        <charset val="134"/>
      </rPr>
      <t>• This formula is very simple: =</t>
    </r>
    <r>
      <rPr>
        <i/>
        <sz val="11"/>
        <rFont val="Arial"/>
        <charset val="134"/>
      </rPr>
      <t>enddate</t>
    </r>
    <r>
      <rPr>
        <sz val="11"/>
        <rFont val="Arial"/>
        <charset val="134"/>
      </rPr>
      <t>+1</t>
    </r>
  </si>
  <si>
    <r>
      <rPr>
        <sz val="11"/>
        <rFont val="Arial"/>
        <charset val="134"/>
      </rPr>
      <t>• For multiple predecessors, the formula would be =MAX(</t>
    </r>
    <r>
      <rPr>
        <i/>
        <sz val="11"/>
        <rFont val="Arial"/>
        <charset val="134"/>
      </rPr>
      <t>enddate1</t>
    </r>
    <r>
      <rPr>
        <sz val="11"/>
        <rFont val="Arial"/>
        <charset val="134"/>
      </rPr>
      <t>,</t>
    </r>
    <r>
      <rPr>
        <i/>
        <sz val="11"/>
        <rFont val="Arial"/>
        <charset val="134"/>
      </rPr>
      <t>enddate2</t>
    </r>
    <r>
      <rPr>
        <sz val="11"/>
        <rFont val="Arial"/>
        <charset val="134"/>
      </rPr>
      <t>,</t>
    </r>
    <r>
      <rPr>
        <i/>
        <sz val="11"/>
        <rFont val="Arial"/>
        <charset val="134"/>
      </rPr>
      <t>enddate3</t>
    </r>
    <r>
      <rPr>
        <sz val="11"/>
        <rFont val="Arial"/>
        <charset val="134"/>
      </rPr>
      <t>)+1</t>
    </r>
  </si>
  <si>
    <t>E.</t>
  </si>
  <si>
    <t>Set the Start date to a number of days before or after another date.</t>
  </si>
  <si>
    <r>
      <rPr>
        <sz val="11"/>
        <rFont val="Arial"/>
        <charset val="134"/>
      </rPr>
      <t>• This formula is just like the one in C or D, except that in place of the "1" you enter the number of days, such as =WORKDAY(</t>
    </r>
    <r>
      <rPr>
        <i/>
        <sz val="11"/>
        <rFont val="Arial"/>
        <charset val="134"/>
      </rPr>
      <t>enddate</t>
    </r>
    <r>
      <rPr>
        <sz val="11"/>
        <rFont val="Arial"/>
        <charset val="134"/>
      </rPr>
      <t>,5) or =WORKDAY(</t>
    </r>
    <r>
      <rPr>
        <i/>
        <sz val="11"/>
        <rFont val="Arial"/>
        <charset val="134"/>
      </rPr>
      <t>startdate</t>
    </r>
    <r>
      <rPr>
        <sz val="11"/>
        <rFont val="Arial"/>
        <charset val="134"/>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</si>
  <si>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</si>
  <si>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</si>
  <si>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</si>
  <si>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</si>
  <si>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</si>
  <si>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</si>
  <si>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</si>
  <si>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rPr>
        <sz val="11"/>
        <color theme="4" tint="-0.249977111117893"/>
        <rFont val="Arial"/>
        <charset val="134"/>
      </rPr>
      <t xml:space="preserve">How do I enter the </t>
    </r>
    <r>
      <rPr>
        <b/>
        <sz val="11"/>
        <color theme="4" tint="-0.249977111117893"/>
        <rFont val="Arial"/>
        <charset val="134"/>
      </rPr>
      <t>Work Days</t>
    </r>
    <r>
      <rPr>
        <sz val="11"/>
        <color theme="4" tint="-0.249977111117893"/>
        <rFont val="Arial"/>
        <charset val="134"/>
      </rPr>
      <t xml:space="preserve"> instead of </t>
    </r>
    <r>
      <rPr>
        <b/>
        <sz val="11"/>
        <color theme="4" tint="-0.249977111117893"/>
        <rFont val="Arial"/>
        <charset val="134"/>
      </rPr>
      <t>Calendar Days</t>
    </r>
    <r>
      <rPr>
        <sz val="11"/>
        <color theme="4" tint="-0.249977111117893"/>
        <rFont val="Arial"/>
        <charset val="134"/>
      </rPr>
      <t>?</t>
    </r>
  </si>
  <si>
    <t>Entering work days instead of calendar days is a feature of the Pro version. There is nothing in the free version preventing you from entering your own formulas, though.</t>
  </si>
  <si>
    <r>
      <rPr>
        <sz val="11"/>
        <color theme="4" tint="-0.249977111117893"/>
        <rFont val="Arial"/>
        <charset val="134"/>
      </rPr>
      <t xml:space="preserve">How do I calculate Calendar Days after entering the </t>
    </r>
    <r>
      <rPr>
        <b/>
        <sz val="11"/>
        <color theme="4" tint="-0.249977111117893"/>
        <rFont val="Arial"/>
        <charset val="134"/>
      </rPr>
      <t>Start and End Dates</t>
    </r>
    <r>
      <rPr>
        <sz val="11"/>
        <color theme="4" tint="-0.249977111117893"/>
        <rFont val="Arial"/>
        <charset val="134"/>
      </rPr>
      <t>?</t>
    </r>
  </si>
  <si>
    <r>
      <rPr>
        <sz val="11"/>
        <rFont val="Arial"/>
        <charset val="134"/>
      </rPr>
      <t>You can calculate the duration in calendar days (including both start and end dates) using the formula =</t>
    </r>
    <r>
      <rPr>
        <i/>
        <sz val="11"/>
        <rFont val="Arial"/>
        <charset val="134"/>
      </rPr>
      <t>enddate</t>
    </r>
    <r>
      <rPr>
        <sz val="11"/>
        <rFont val="Arial"/>
        <charset val="134"/>
      </rPr>
      <t>-</t>
    </r>
    <r>
      <rPr>
        <i/>
        <sz val="11"/>
        <rFont val="Arial"/>
        <charset val="134"/>
      </rPr>
      <t>startdate</t>
    </r>
    <r>
      <rPr>
        <sz val="11"/>
        <rFont val="Arial"/>
        <charset val="134"/>
      </rPr>
      <t>+1</t>
    </r>
  </si>
  <si>
    <r>
      <rPr>
        <sz val="11"/>
        <color theme="4" tint="-0.249977111117893"/>
        <rFont val="Arial"/>
        <charset val="134"/>
      </rPr>
      <t xml:space="preserve">How do I change the </t>
    </r>
    <r>
      <rPr>
        <b/>
        <sz val="11"/>
        <color theme="4" tint="-0.249977111117893"/>
        <rFont val="Arial"/>
        <charset val="134"/>
      </rPr>
      <t>Print Settings</t>
    </r>
    <r>
      <rPr>
        <sz val="11"/>
        <color theme="4" tint="-0.249977111117893"/>
        <rFont val="Arial"/>
        <charset val="134"/>
      </rPr>
      <t>? (Excel 2010, 2013)</t>
    </r>
  </si>
  <si>
    <t>Select the entire range of cells you want to print and go to File &gt; Print Area &gt; Set Print Area. Then go to File &gt; Page Setup or File &gt; Print Preview and adjust the Scaling, Margins, and Page Orientation as desired.</t>
  </si>
  <si>
    <r>
      <rPr>
        <sz val="11"/>
        <color theme="4" tint="-0.249977111117893"/>
        <rFont val="Arial"/>
        <charset val="134"/>
      </rPr>
      <t xml:space="preserve">How do I increase the </t>
    </r>
    <r>
      <rPr>
        <b/>
        <sz val="11"/>
        <color theme="4" tint="-0.249977111117893"/>
        <rFont val="Arial"/>
        <charset val="134"/>
      </rPr>
      <t>range of dates</t>
    </r>
    <r>
      <rPr>
        <sz val="11"/>
        <color theme="4" tint="-0.249977111117893"/>
        <rFont val="Arial"/>
        <charset val="134"/>
      </rPr>
      <t xml:space="preserve"> displayed in the Gantt chart?</t>
    </r>
  </si>
  <si>
    <t>You will need to add columns to the right of the Gantt Chart via copy/paste. Copy and paste the columns in groups of 7. Afterwards, you will also probably need to update the print area.</t>
  </si>
  <si>
    <r>
      <rPr>
        <sz val="11"/>
        <color theme="4" tint="-0.249977111117893"/>
        <rFont val="Arial"/>
        <charset val="134"/>
      </rPr>
      <t xml:space="preserve">How do I create a summary row that shows the </t>
    </r>
    <r>
      <rPr>
        <b/>
        <sz val="11"/>
        <color theme="4" tint="-0.249977111117893"/>
        <rFont val="Arial"/>
        <charset val="134"/>
      </rPr>
      <t>MIN</t>
    </r>
    <r>
      <rPr>
        <sz val="11"/>
        <color theme="4" tint="-0.249977111117893"/>
        <rFont val="Arial"/>
        <charset val="134"/>
      </rPr>
      <t xml:space="preserve"> and </t>
    </r>
    <r>
      <rPr>
        <b/>
        <sz val="11"/>
        <color theme="4" tint="-0.249977111117893"/>
        <rFont val="Arial"/>
        <charset val="134"/>
      </rPr>
      <t>MAX</t>
    </r>
    <r>
      <rPr>
        <sz val="11"/>
        <color theme="4" tint="-0.249977111117893"/>
        <rFont val="Arial"/>
        <charset val="134"/>
      </rPr>
      <t xml:space="preserve"> dates for all sub-tasks?</t>
    </r>
  </si>
  <si>
    <r>
      <rPr>
        <sz val="11"/>
        <color rgb="FF000000"/>
        <rFont val="Arial"/>
        <charset val="134"/>
      </rPr>
      <t>In the Start column, use the formula =MIN(</t>
    </r>
    <r>
      <rPr>
        <i/>
        <sz val="11"/>
        <color rgb="FF000000"/>
        <rFont val="Arial"/>
        <charset val="134"/>
      </rPr>
      <t>range_of_start_dates</t>
    </r>
    <r>
      <rPr>
        <sz val="11"/>
        <color rgb="FF000000"/>
        <rFont val="Arial"/>
        <charset val="134"/>
      </rPr>
      <t>)</t>
    </r>
  </si>
  <si>
    <r>
      <rPr>
        <sz val="11"/>
        <color rgb="FF000000"/>
        <rFont val="Arial"/>
        <charset val="134"/>
      </rPr>
      <t>In the End column, use the formula =MAX(</t>
    </r>
    <r>
      <rPr>
        <i/>
        <sz val="11"/>
        <color rgb="FF000000"/>
        <rFont val="Arial"/>
        <charset val="134"/>
      </rPr>
      <t>range_of_end_dates</t>
    </r>
    <r>
      <rPr>
        <sz val="11"/>
        <color rgb="FF000000"/>
        <rFont val="Arial"/>
        <charset val="134"/>
      </rPr>
      <t>)</t>
    </r>
  </si>
  <si>
    <r>
      <rPr>
        <sz val="11"/>
        <color rgb="FF000000"/>
        <rFont val="Arial"/>
        <charset val="134"/>
      </rPr>
      <t>In the Days column, use the formula =</t>
    </r>
    <r>
      <rPr>
        <i/>
        <sz val="11"/>
        <color rgb="FF000000"/>
        <rFont val="Arial"/>
        <charset val="134"/>
      </rPr>
      <t>end_date</t>
    </r>
    <r>
      <rPr>
        <sz val="11"/>
        <color rgb="FF000000"/>
        <rFont val="Arial"/>
        <charset val="134"/>
      </rPr>
      <t>-</t>
    </r>
    <r>
      <rPr>
        <i/>
        <sz val="11"/>
        <color rgb="FF000000"/>
        <rFont val="Arial"/>
        <charset val="134"/>
      </rPr>
      <t>start_date</t>
    </r>
    <r>
      <rPr>
        <sz val="11"/>
        <color rgb="FF000000"/>
        <rFont val="Arial"/>
        <charset val="134"/>
      </rPr>
      <t>+1</t>
    </r>
  </si>
  <si>
    <r>
      <rPr>
        <sz val="11"/>
        <color theme="4" tint="-0.249977111117893"/>
        <rFont val="Arial"/>
        <charset val="134"/>
      </rPr>
      <t xml:space="preserve">How do I calculate the </t>
    </r>
    <r>
      <rPr>
        <b/>
        <sz val="11"/>
        <color theme="4" tint="-0.249977111117893"/>
        <rFont val="Arial"/>
        <charset val="134"/>
      </rPr>
      <t>%Complete</t>
    </r>
    <r>
      <rPr>
        <sz val="11"/>
        <color theme="4" tint="-0.249977111117893"/>
        <rFont val="Arial"/>
        <charset val="134"/>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</si>
  <si>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</si>
  <si>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rPr>
        <sz val="11"/>
        <rFont val="Arial"/>
        <charset val="134"/>
      </rPr>
      <t>=SUMPRODUCT(</t>
    </r>
    <r>
      <rPr>
        <i/>
        <sz val="11"/>
        <rFont val="Arial"/>
        <charset val="134"/>
      </rPr>
      <t>workdays</t>
    </r>
    <r>
      <rPr>
        <sz val="11"/>
        <rFont val="Arial"/>
        <charset val="134"/>
      </rPr>
      <t>,</t>
    </r>
    <r>
      <rPr>
        <i/>
        <sz val="11"/>
        <rFont val="Arial"/>
        <charset val="134"/>
      </rPr>
      <t>complete</t>
    </r>
    <r>
      <rPr>
        <sz val="11"/>
        <rFont val="Arial"/>
        <charset val="134"/>
      </rPr>
      <t>)/SUM(</t>
    </r>
    <r>
      <rPr>
        <i/>
        <sz val="11"/>
        <rFont val="Arial"/>
        <charset val="134"/>
      </rPr>
      <t>workdays</t>
    </r>
    <r>
      <rPr>
        <sz val="11"/>
        <rFont val="Arial"/>
        <charset val="134"/>
      </rPr>
      <t>)</t>
    </r>
  </si>
  <si>
    <t>Example: Let's say you have 3 sub tasks that are 10 days, 12 days, and 14 days long, respectively. If the first subtask is 50% complete and the others are 25% complete, you could calculate the overall percent complete for the group as: =(10*50%+12*25%+14*25%)/(10+12+14).</t>
  </si>
  <si>
    <r>
      <rPr>
        <sz val="11"/>
        <color theme="4" tint="-0.249977111117893"/>
        <rFont val="Arial"/>
        <charset val="134"/>
      </rPr>
      <t xml:space="preserve">I've </t>
    </r>
    <r>
      <rPr>
        <b/>
        <sz val="11"/>
        <color theme="4" tint="-0.249977111117893"/>
        <rFont val="Arial"/>
        <charset val="134"/>
      </rPr>
      <t>messed up</t>
    </r>
    <r>
      <rPr>
        <sz val="11"/>
        <color theme="4" tint="-0.249977111117893"/>
        <rFont val="Arial"/>
        <charset val="134"/>
      </rPr>
      <t xml:space="preserve"> the chart area somehow. How do I fix it?</t>
    </r>
  </si>
  <si>
    <t>Find a row that works, then copy the cells that make up the gantt chart area from that row into the row that is messed up.</t>
  </si>
  <si>
    <t>© 2006-2025 Vertex42 LLC</t>
  </si>
  <si>
    <t>Terms of Use</t>
  </si>
  <si>
    <t>Gantt Chart Template, by Vertex42.com</t>
  </si>
  <si>
    <t>This spreadsheet template, including all worksheets and associated content is a copyrighted work under the United States and other copyright laws.</t>
  </si>
  <si>
    <r>
      <rPr>
        <sz val="12"/>
        <rFont val="Arial"/>
        <charset val="134"/>
      </rPr>
      <t xml:space="preserve">You may download the spreadsheet template, make archival copies, and customize the template only for your </t>
    </r>
    <r>
      <rPr>
        <b/>
        <sz val="12"/>
        <rFont val="Arial"/>
        <charset val="134"/>
      </rPr>
      <t>personal use or use within your company or organization</t>
    </r>
    <r>
      <rPr>
        <sz val="12"/>
        <rFont val="Arial"/>
        <charset val="134"/>
      </rPr>
      <t xml:space="preserve"> and </t>
    </r>
    <r>
      <rPr>
        <b/>
        <sz val="12"/>
        <rFont val="Arial"/>
        <charset val="134"/>
      </rPr>
      <t>not</t>
    </r>
    <r>
      <rPr>
        <sz val="12"/>
        <rFont val="Arial"/>
        <charset val="134"/>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</si>
  <si>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</si>
  <si>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</si>
  <si>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charset val="134"/>
      </rPr>
      <t>Limited Private Sharing and Other Allowed Uses</t>
    </r>
    <r>
      <rPr>
        <sz val="12"/>
        <rFont val="Arial"/>
        <charset val="134"/>
      </rPr>
      <t>: See the complete license agreement to learn more about how you may or may not use this template.</t>
    </r>
  </si>
  <si>
    <t>View the Complete License Agreement</t>
  </si>
  <si>
    <t>https://www.vertex42.com/licensing/EULA_privateuse.html</t>
  </si>
  <si>
    <t>Analyse and Specify Difficulties, report writing</t>
  </si>
  <si>
    <t>PowerPoints Prepare</t>
  </si>
  <si>
    <t>Zhou Lihao 3036507016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</si>
</sst>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mmm\ yyyy"/>
    <numFmt numFmtId="167" formatCode="d"/>
  </numFmts>
  <fonts count="49">
    <font>
      <sz val="10"/>
      <name val="Arial"/>
      <charset val="134"/>
    </font>
    <font>
      <sz val="10"/>
      <name val="Arial"/>
      <charset val="134"/>
    </font>
    <font>
      <sz val="18"/>
      <color theme="4" tint="-0.249977111117893"/>
      <name val="Arial"/>
      <charset val="134"/>
    </font>
    <font>
      <sz val="12"/>
      <name val="Arial"/>
      <charset val="134"/>
    </font>
    <font>
      <u/>
      <sz val="11"/>
      <color indexed="12"/>
      <name val="Arial"/>
      <charset val="134"/>
    </font>
    <font>
      <b/>
      <sz val="12"/>
      <name val="Arial"/>
      <charset val="134"/>
    </font>
    <font>
      <u/>
      <sz val="12"/>
      <color indexed="12"/>
      <name val="Arial"/>
      <charset val="134"/>
    </font>
    <font>
      <sz val="18"/>
      <color theme="3"/>
      <name val="Arial"/>
      <charset val="134"/>
    </font>
    <font>
      <sz val="8"/>
      <name val="Arial"/>
      <charset val="134"/>
    </font>
    <font>
      <sz val="14"/>
      <color theme="4" tint="-0.249977111117893"/>
      <name val="Arial"/>
      <charset val="134"/>
    </font>
    <font>
      <b/>
      <sz val="12"/>
      <color theme="4" tint="-0.249977111117893"/>
      <name val="Arial"/>
      <charset val="134"/>
    </font>
    <font>
      <sz val="11"/>
      <name val="Arial"/>
      <charset val="134"/>
    </font>
    <font>
      <sz val="14"/>
      <name val="Arial"/>
      <charset val="134"/>
    </font>
    <font>
      <sz val="11"/>
      <color rgb="FFFF0000"/>
      <name val="Arial"/>
      <charset val="134"/>
    </font>
    <font>
      <b/>
      <sz val="10"/>
      <name val="Arial"/>
      <charset val="134"/>
    </font>
    <font>
      <b/>
      <sz val="11"/>
      <color theme="4" tint="-0.249977111117893"/>
      <name val="Arial"/>
      <charset val="134"/>
    </font>
    <font>
      <sz val="11"/>
      <color rgb="FF000000"/>
      <name val="Arial"/>
      <charset val="134"/>
    </font>
    <font>
      <sz val="11"/>
      <color theme="4" tint="-0.249977111117893"/>
      <name val="Arial"/>
      <charset val="134"/>
    </font>
    <font>
      <b/>
      <sz val="11"/>
      <name val="Arial"/>
      <charset val="134"/>
    </font>
    <font>
      <sz val="9"/>
      <name val="Arial"/>
      <charset val="134"/>
      <scheme val="minor"/>
    </font>
    <font>
      <sz val="9"/>
      <color theme="1"/>
      <name val="Arial"/>
      <charset val="134"/>
      <scheme val="minor"/>
    </font>
    <font>
      <b/>
      <sz val="16"/>
      <color theme="3" tint="0.39994506668294322"/>
      <name val="Arial"/>
      <charset val="134"/>
      <scheme val="major"/>
    </font>
    <font>
      <sz val="14"/>
      <color indexed="56"/>
      <name val="Arial"/>
      <charset val="134"/>
    </font>
    <font>
      <sz val="11"/>
      <name val="Arial"/>
      <charset val="134"/>
      <scheme val="major"/>
    </font>
    <font>
      <sz val="9"/>
      <name val="Arial"/>
      <charset val="134"/>
    </font>
    <font>
      <u/>
      <sz val="8"/>
      <color indexed="12"/>
      <name val="Arial"/>
      <charset val="134"/>
    </font>
    <font>
      <sz val="7"/>
      <color indexed="55"/>
      <name val="Arial"/>
      <charset val="134"/>
    </font>
    <font>
      <sz val="10"/>
      <name val="Arial"/>
      <charset val="134"/>
      <scheme val="major"/>
    </font>
    <font>
      <sz val="10"/>
      <name val="Arial"/>
      <charset val="134"/>
      <scheme val="minor"/>
    </font>
    <font>
      <sz val="10"/>
      <name val="Arial"/>
      <charset val="134"/>
      <scheme val="major"/>
    </font>
    <font>
      <b/>
      <sz val="9"/>
      <name val="Arial"/>
      <charset val="134"/>
      <scheme val="major"/>
    </font>
    <font>
      <b/>
      <sz val="8"/>
      <name val="Arial"/>
      <charset val="134"/>
      <scheme val="major"/>
    </font>
    <font>
      <b/>
      <sz val="9"/>
      <name val="Arial"/>
      <charset val="134"/>
      <scheme val="minor"/>
    </font>
    <font>
      <sz val="9"/>
      <color rgb="FF000000"/>
      <name val="Arial"/>
      <charset val="134"/>
      <scheme val="minor"/>
    </font>
    <font>
      <b/>
      <sz val="9"/>
      <color theme="1"/>
      <name val="Arial"/>
      <charset val="134"/>
      <scheme val="minor"/>
    </font>
    <font>
      <u/>
      <sz val="10"/>
      <color indexed="12"/>
      <name val="Arial"/>
      <charset val="134"/>
    </font>
    <font>
      <i/>
      <sz val="8"/>
      <color theme="0" tint="-0.34998626667073579"/>
      <name val="Arial"/>
      <charset val="134"/>
    </font>
    <font>
      <sz val="11"/>
      <name val="Arial"/>
      <charset val="134"/>
      <scheme val="minor"/>
    </font>
    <font>
      <sz val="14"/>
      <name val="Arial"/>
      <charset val="134"/>
      <scheme val="minor"/>
    </font>
    <font>
      <sz val="14"/>
      <color rgb="FF000000"/>
      <name val="Arial"/>
      <charset val="134"/>
      <scheme val="minor"/>
    </font>
    <font>
      <sz val="14"/>
      <color theme="1"/>
      <name val="Arial"/>
      <charset val="134"/>
      <scheme val="minor"/>
    </font>
    <font>
      <i/>
      <sz val="11"/>
      <color rgb="FF000000"/>
      <name val="Arial"/>
      <charset val="134"/>
    </font>
    <font>
      <i/>
      <sz val="11"/>
      <name val="Arial"/>
      <charset val="134"/>
    </font>
    <font>
      <b/>
      <sz val="11"/>
      <color rgb="FFFF0000"/>
      <name val="Arial"/>
      <charset val="134"/>
    </font>
    <font>
      <b/>
      <sz val="9"/>
      <name val="Tahoma"/>
      <charset val="134"/>
    </font>
    <font>
      <b/>
      <i/>
      <sz val="9"/>
      <name val="Tahoma"/>
      <charset val="134"/>
    </font>
    <font>
      <sz val="9"/>
      <name val="Tahoma"/>
      <charset val="134"/>
    </font>
    <font>
      <i/>
      <sz val="9"/>
      <name val="Tahoma"/>
      <charset val="134"/>
    </font>
    <font>
      <sz val="8"/>
      <name val="Tahoma"/>
      <charset val="134"/>
    </font>
  </fonts>
  <fills count="10">
    <fill>
      <patternFill patternType="none"/>
    </fill>
    <fill>
      <patternFill patternType="gray125"/>
    </fill>
    <fill>
      <patternFill patternType="solid">
        <fgColor indexed="22"/>
        <bgColor indexed="64"/>
      </patternFill>
    </fill>
    <fill>
      <patternFill patternType="solid">
        <fgColor theme="3" tint="0.79995117038483843"/>
        <bgColor indexed="64"/>
      </patternFill>
    </fill>
    <fill>
      <patternFill patternType="solid">
        <fgColor theme="8" tint="0.39994506668294322"/>
        <bgColor indexed="64"/>
      </patternFill>
    </fill>
    <fill>
      <patternFill patternType="solid">
        <fgColor rgb="FFFFFF00"/>
        <bgColor indexed="64"/>
      </patternFill>
    </fill>
    <fill>
      <patternFill patternType="solid">
        <fgColor indexed="9"/>
        <bgColor indexed="64"/>
      </patternFill>
    </fill>
    <fill>
      <patternFill patternType="solid">
        <fgColor theme="3" tint="0.79995117038483843"/>
        <bgColor rgb="FFD6F4D9"/>
      </patternFill>
    </fill>
    <fill>
      <patternFill patternType="solid">
        <fgColor rgb="FFFFFF00"/>
        <bgColor rgb="FFD6F4D9"/>
      </patternFill>
    </fill>
    <fill>
      <patternFill patternType="solid">
        <fgColor theme="8" tint="0.39994506668294322"/>
        <bgColor rgb="FFD6F4D9"/>
      </patternFill>
    </fill>
  </fills>
  <borders count="15">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style="thin">
        <color indexed="22"/>
      </top>
      <bottom style="thin">
        <color indexed="22"/>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bottom style="medium">
        <color theme="0" tint="-0.34998626667073579"/>
      </bottom>
      <diagonal/>
    </border>
    <border>
      <left/>
      <right/>
      <top/>
      <bottom style="thin">
        <color indexed="22"/>
      </bottom>
      <diagonal/>
    </border>
    <border>
      <left/>
      <right/>
      <top style="thin">
        <color rgb="FFEFEFEF"/>
      </top>
      <bottom style="thin">
        <color rgb="FFEFEFEF"/>
      </bottom>
      <diagonal/>
    </border>
    <border>
      <left style="medium">
        <color theme="0" tint="-0.24994659260841701"/>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s>
  <cellStyleXfs count="3">
    <xf numFmtId="0" fontId="0" fillId="0" borderId="0"/>
    <xf numFmtId="9" fontId="1" fillId="0" borderId="0" applyFont="0" applyFill="0" applyBorder="0" applyAlignment="0" applyProtection="0"/>
    <xf numFmtId="0" fontId="35" fillId="0" borderId="0" applyNumberFormat="0" applyFill="0" applyBorder="0" applyAlignment="0" applyProtection="0">
      <alignment vertical="top"/>
      <protection locked="0"/>
    </xf>
  </cellStyleXfs>
  <cellXfs count="127">
    <xf numFmtId="0" fontId="0" fillId="0" borderId="0" xfId="0"/>
    <xf numFmtId="0" fontId="1" fillId="0" borderId="0" xfId="0" applyFont="1"/>
    <xf numFmtId="0" fontId="2" fillId="0" borderId="0" xfId="0" applyFont="1" applyAlignment="1">
      <alignment horizontal="left" vertical="center"/>
    </xf>
    <xf numFmtId="0" fontId="3" fillId="0" borderId="0" xfId="0" applyFont="1" applyAlignment="1">
      <alignment horizontal="left" wrapText="1"/>
    </xf>
    <xf numFmtId="0" fontId="1" fillId="0" borderId="1" xfId="0" applyFont="1" applyBorder="1"/>
    <xf numFmtId="0" fontId="3" fillId="0" borderId="1" xfId="0" applyFont="1" applyBorder="1" applyAlignment="1">
      <alignment horizontal="left" wrapText="1"/>
    </xf>
    <xf numFmtId="0" fontId="0" fillId="0" borderId="1" xfId="0" applyBorder="1"/>
    <xf numFmtId="0" fontId="1" fillId="0" borderId="2" xfId="0" applyFont="1" applyBorder="1"/>
    <xf numFmtId="0" fontId="4" fillId="0" borderId="1" xfId="2" applyFont="1" applyBorder="1" applyAlignment="1" applyProtection="1">
      <alignment wrapText="1"/>
    </xf>
    <xf numFmtId="0" fontId="0" fillId="0" borderId="2" xfId="0" applyBorder="1"/>
    <xf numFmtId="0" fontId="3" fillId="0" borderId="2" xfId="0" applyFont="1" applyBorder="1" applyAlignment="1">
      <alignment horizontal="left" wrapText="1"/>
    </xf>
    <xf numFmtId="0" fontId="5" fillId="0" borderId="2" xfId="0" applyFont="1" applyBorder="1" applyAlignment="1">
      <alignment horizontal="left" wrapText="1"/>
    </xf>
    <xf numFmtId="0" fontId="6" fillId="0" borderId="2" xfId="2" applyFont="1" applyBorder="1" applyAlignment="1" applyProtection="1">
      <alignment horizontal="left" wrapText="1"/>
    </xf>
    <xf numFmtId="0" fontId="3" fillId="0" borderId="2" xfId="0" applyFont="1" applyBorder="1" applyAlignment="1">
      <alignment horizontal="left"/>
    </xf>
    <xf numFmtId="0" fontId="1" fillId="0" borderId="0" xfId="0" applyFont="1" applyAlignment="1">
      <alignment vertical="center"/>
    </xf>
    <xf numFmtId="0" fontId="7" fillId="0" borderId="0" xfId="0" applyFont="1" applyAlignment="1">
      <alignment horizontal="left" vertical="center"/>
    </xf>
    <xf numFmtId="0" fontId="4" fillId="0" borderId="0" xfId="2" applyFont="1" applyAlignment="1" applyProtection="1"/>
    <xf numFmtId="0" fontId="8" fillId="0" borderId="0" xfId="0" applyFont="1" applyAlignment="1">
      <alignment horizontal="right"/>
    </xf>
    <xf numFmtId="0" fontId="9" fillId="0" borderId="0" xfId="0" applyFont="1"/>
    <xf numFmtId="0" fontId="10" fillId="0" borderId="0" xfId="0" applyFont="1"/>
    <xf numFmtId="0" fontId="11" fillId="0" borderId="0" xfId="0" applyFont="1" applyAlignment="1">
      <alignment horizontal="left" wrapText="1"/>
    </xf>
    <xf numFmtId="0" fontId="11" fillId="0" borderId="0" xfId="0" applyFont="1" applyAlignment="1">
      <alignment wrapText="1"/>
    </xf>
    <xf numFmtId="0" fontId="12" fillId="0" borderId="0" xfId="0" applyFont="1" applyAlignment="1">
      <alignment vertical="center"/>
    </xf>
    <xf numFmtId="0" fontId="11" fillId="0" borderId="0" xfId="0" applyFont="1" applyAlignment="1">
      <alignment vertical="center" wrapText="1"/>
    </xf>
    <xf numFmtId="0" fontId="1" fillId="2" borderId="0" xfId="0" applyFont="1" applyFill="1" applyAlignment="1">
      <alignment horizontal="center" vertical="center"/>
    </xf>
    <xf numFmtId="0" fontId="12" fillId="0" borderId="0" xfId="0" applyFont="1"/>
    <xf numFmtId="0" fontId="1" fillId="3" borderId="0" xfId="0" applyFont="1" applyFill="1" applyAlignment="1">
      <alignment horizontal="center" vertical="center"/>
    </xf>
    <xf numFmtId="0" fontId="13" fillId="0" borderId="0" xfId="0" applyFont="1" applyAlignment="1">
      <alignment vertical="center" wrapText="1"/>
    </xf>
    <xf numFmtId="0" fontId="14" fillId="0" borderId="0" xfId="0" applyFont="1"/>
    <xf numFmtId="0" fontId="15" fillId="0" borderId="0" xfId="0" applyFont="1"/>
    <xf numFmtId="0" fontId="4" fillId="0" borderId="0" xfId="2" applyFont="1" applyFill="1" applyBorder="1" applyAlignment="1" applyProtection="1">
      <alignment vertical="center"/>
    </xf>
    <xf numFmtId="0" fontId="8" fillId="0" borderId="0" xfId="0" applyFont="1" applyAlignment="1">
      <alignment wrapText="1"/>
    </xf>
    <xf numFmtId="0" fontId="16" fillId="0" borderId="0" xfId="0" applyFont="1" applyAlignment="1">
      <alignment horizontal="right"/>
    </xf>
    <xf numFmtId="0" fontId="11" fillId="0" borderId="0" xfId="0" applyFont="1"/>
    <xf numFmtId="0" fontId="1" fillId="0" borderId="0" xfId="0" applyFont="1" applyAlignment="1">
      <alignment horizontal="left" wrapText="1" indent="1"/>
    </xf>
    <xf numFmtId="0" fontId="15" fillId="0" borderId="0" xfId="0" applyFont="1" applyAlignment="1">
      <alignment horizontal="right"/>
    </xf>
    <xf numFmtId="0" fontId="17" fillId="0" borderId="0" xfId="0" applyFont="1" applyAlignment="1">
      <alignment vertical="center" wrapText="1"/>
    </xf>
    <xf numFmtId="0" fontId="11" fillId="0" borderId="0" xfId="0" applyFont="1" applyAlignment="1">
      <alignment horizontal="left" vertical="center" wrapText="1"/>
    </xf>
    <xf numFmtId="0" fontId="11" fillId="0" borderId="0" xfId="0" applyFont="1" applyAlignment="1">
      <alignment horizontal="left" indent="1"/>
    </xf>
    <xf numFmtId="0" fontId="17" fillId="0" borderId="0" xfId="0" applyFont="1"/>
    <xf numFmtId="0" fontId="16" fillId="0" borderId="0" xfId="0" applyFont="1" applyAlignment="1">
      <alignment horizontal="left" wrapText="1"/>
    </xf>
    <xf numFmtId="0" fontId="18" fillId="0" borderId="0" xfId="0" applyFont="1" applyAlignment="1">
      <alignment horizontal="left" indent="1"/>
    </xf>
    <xf numFmtId="0" fontId="8" fillId="0" borderId="0" xfId="0" applyFont="1" applyAlignment="1">
      <alignment horizontal="left" vertical="center"/>
    </xf>
    <xf numFmtId="0" fontId="19" fillId="4" borderId="3" xfId="0" applyFont="1" applyFill="1" applyBorder="1" applyAlignment="1">
      <alignment vertical="center"/>
    </xf>
    <xf numFmtId="0" fontId="19" fillId="0" borderId="3" xfId="0" applyFont="1" applyBorder="1" applyAlignment="1">
      <alignment vertical="center"/>
    </xf>
    <xf numFmtId="0" fontId="20" fillId="5" borderId="3" xfId="0" applyFont="1" applyFill="1" applyBorder="1" applyAlignment="1">
      <alignment vertical="center"/>
    </xf>
    <xf numFmtId="0" fontId="19" fillId="5" borderId="3" xfId="0" applyFont="1" applyFill="1" applyBorder="1" applyAlignment="1">
      <alignment vertical="center"/>
    </xf>
    <xf numFmtId="0" fontId="0" fillId="0" borderId="0" xfId="0" applyProtection="1">
      <protection locked="0"/>
    </xf>
    <xf numFmtId="0" fontId="21" fillId="0" borderId="0" xfId="0" applyFont="1" applyAlignment="1" applyProtection="1">
      <alignment vertical="center"/>
      <protection locked="0"/>
    </xf>
    <xf numFmtId="0" fontId="22" fillId="0" borderId="0" xfId="0" applyFont="1" applyAlignment="1" applyProtection="1">
      <alignment vertical="center"/>
      <protection locked="0"/>
    </xf>
    <xf numFmtId="0" fontId="23" fillId="0" borderId="0" xfId="0" applyFont="1" applyAlignment="1" applyProtection="1">
      <alignment vertical="center"/>
      <protection locked="0"/>
    </xf>
    <xf numFmtId="0" fontId="24" fillId="0" borderId="0" xfId="0" applyFont="1" applyProtection="1">
      <protection locked="0"/>
    </xf>
    <xf numFmtId="0" fontId="25" fillId="6" borderId="0" xfId="2" applyNumberFormat="1" applyFont="1" applyFill="1" applyAlignment="1" applyProtection="1">
      <alignment horizontal="right"/>
      <protection locked="0"/>
    </xf>
    <xf numFmtId="0" fontId="26" fillId="0" borderId="0" xfId="0" applyFont="1" applyProtection="1">
      <protection locked="0"/>
    </xf>
    <xf numFmtId="0" fontId="0" fillId="6" borderId="0" xfId="0" applyFill="1"/>
    <xf numFmtId="0" fontId="27" fillId="0" borderId="0" xfId="0" applyFont="1"/>
    <xf numFmtId="0" fontId="27" fillId="0" borderId="0" xfId="0" applyFont="1" applyAlignment="1">
      <alignment horizontal="right" vertical="center"/>
    </xf>
    <xf numFmtId="0" fontId="28" fillId="0" borderId="4" xfId="0" applyFont="1" applyBorder="1" applyAlignment="1" applyProtection="1">
      <alignment horizontal="center" vertical="center"/>
      <protection locked="0"/>
    </xf>
    <xf numFmtId="0" fontId="29" fillId="0" borderId="0" xfId="0" applyFont="1"/>
    <xf numFmtId="0" fontId="30" fillId="0" borderId="6" xfId="0" applyFont="1" applyBorder="1" applyAlignment="1">
      <alignment horizontal="left" vertical="center"/>
    </xf>
    <xf numFmtId="0" fontId="30" fillId="0" borderId="6" xfId="0" applyFont="1" applyBorder="1" applyAlignment="1">
      <alignment horizontal="center" vertical="center" wrapText="1"/>
    </xf>
    <xf numFmtId="0" fontId="31" fillId="0" borderId="6" xfId="0" applyFont="1" applyBorder="1" applyAlignment="1">
      <alignment horizontal="center" vertical="center" wrapText="1"/>
    </xf>
    <xf numFmtId="0" fontId="30" fillId="0" borderId="6" xfId="0" applyFont="1" applyBorder="1" applyAlignment="1">
      <alignment horizontal="center" vertical="center"/>
    </xf>
    <xf numFmtId="0" fontId="32" fillId="4" borderId="7" xfId="0" applyFont="1" applyFill="1" applyBorder="1" applyAlignment="1">
      <alignment horizontal="left" vertical="center"/>
    </xf>
    <xf numFmtId="0" fontId="32" fillId="4" borderId="7" xfId="0" applyFont="1" applyFill="1" applyBorder="1" applyAlignment="1">
      <alignment vertical="center"/>
    </xf>
    <xf numFmtId="0" fontId="19" fillId="4" borderId="7" xfId="0" applyFont="1" applyFill="1" applyBorder="1" applyAlignment="1">
      <alignment vertical="center"/>
    </xf>
    <xf numFmtId="0" fontId="19" fillId="4" borderId="7" xfId="0" applyFont="1" applyFill="1" applyBorder="1" applyAlignment="1">
      <alignment horizontal="center" vertical="center"/>
    </xf>
    <xf numFmtId="165" fontId="19" fillId="4" borderId="7" xfId="0" applyNumberFormat="1" applyFont="1" applyFill="1" applyBorder="1" applyAlignment="1">
      <alignment horizontal="center" vertical="center"/>
    </xf>
    <xf numFmtId="1" fontId="19" fillId="4" borderId="7" xfId="1" applyNumberFormat="1" applyFont="1" applyFill="1" applyBorder="1" applyAlignment="1" applyProtection="1">
      <alignment horizontal="center" vertical="center"/>
    </xf>
    <xf numFmtId="9" fontId="19" fillId="4" borderId="7" xfId="1" applyFont="1" applyFill="1" applyBorder="1" applyAlignment="1" applyProtection="1">
      <alignment horizontal="center" vertical="center"/>
    </xf>
    <xf numFmtId="0" fontId="19" fillId="0" borderId="3" xfId="0" applyFont="1" applyBorder="1" applyAlignment="1">
      <alignment horizontal="left" vertical="center"/>
    </xf>
    <xf numFmtId="0" fontId="33" fillId="0" borderId="8" xfId="0" applyFont="1" applyBorder="1" applyAlignment="1">
      <alignment horizontal="center" vertical="center"/>
    </xf>
    <xf numFmtId="165" fontId="33" fillId="7" borderId="8" xfId="0" applyNumberFormat="1" applyFont="1" applyFill="1" applyBorder="1" applyAlignment="1">
      <alignment horizontal="center" vertical="center"/>
    </xf>
    <xf numFmtId="165" fontId="33" fillId="0" borderId="8" xfId="0" applyNumberFormat="1" applyFont="1" applyBorder="1" applyAlignment="1">
      <alignment horizontal="center" vertical="center"/>
    </xf>
    <xf numFmtId="1" fontId="33" fillId="3" borderId="8" xfId="0" applyNumberFormat="1" applyFont="1" applyFill="1" applyBorder="1" applyAlignment="1">
      <alignment horizontal="center" vertical="center"/>
    </xf>
    <xf numFmtId="9" fontId="33" fillId="3" borderId="8" xfId="1" applyFont="1" applyFill="1" applyBorder="1" applyAlignment="1" applyProtection="1">
      <alignment horizontal="center" vertical="center"/>
    </xf>
    <xf numFmtId="0" fontId="19" fillId="0" borderId="3" xfId="0" applyFont="1" applyBorder="1" applyAlignment="1">
      <alignment vertical="center" wrapText="1"/>
    </xf>
    <xf numFmtId="0" fontId="20" fillId="5" borderId="3" xfId="0" applyFont="1" applyFill="1" applyBorder="1" applyAlignment="1">
      <alignment horizontal="left" vertical="center"/>
    </xf>
    <xf numFmtId="0" fontId="34" fillId="5" borderId="3" xfId="0" applyFont="1" applyFill="1" applyBorder="1" applyAlignment="1">
      <alignment vertical="center" wrapText="1"/>
    </xf>
    <xf numFmtId="0" fontId="20" fillId="5" borderId="8" xfId="0" applyFont="1" applyFill="1" applyBorder="1" applyAlignment="1">
      <alignment horizontal="center" vertical="center"/>
    </xf>
    <xf numFmtId="165" fontId="20" fillId="8" borderId="8" xfId="0" applyNumberFormat="1" applyFont="1" applyFill="1" applyBorder="1" applyAlignment="1">
      <alignment horizontal="center" vertical="center"/>
    </xf>
    <xf numFmtId="165" fontId="20" fillId="5" borderId="8" xfId="0" applyNumberFormat="1" applyFont="1" applyFill="1" applyBorder="1" applyAlignment="1">
      <alignment horizontal="center" vertical="center"/>
    </xf>
    <xf numFmtId="1" fontId="20" fillId="5" borderId="8" xfId="0" applyNumberFormat="1" applyFont="1" applyFill="1" applyBorder="1" applyAlignment="1">
      <alignment horizontal="center" vertical="center"/>
    </xf>
    <xf numFmtId="9" fontId="20" fillId="5" borderId="8" xfId="1" applyFont="1" applyFill="1" applyBorder="1" applyAlignment="1" applyProtection="1">
      <alignment horizontal="center" vertical="center"/>
    </xf>
    <xf numFmtId="0" fontId="19" fillId="5" borderId="3" xfId="0" applyFont="1" applyFill="1" applyBorder="1" applyAlignment="1">
      <alignment horizontal="left" vertical="center"/>
    </xf>
    <xf numFmtId="0" fontId="32" fillId="5" borderId="3" xfId="0" applyFont="1" applyFill="1" applyBorder="1" applyAlignment="1">
      <alignment vertical="center" wrapText="1"/>
    </xf>
    <xf numFmtId="0" fontId="33" fillId="5" borderId="8" xfId="0" applyFont="1" applyFill="1" applyBorder="1" applyAlignment="1">
      <alignment horizontal="center" vertical="center"/>
    </xf>
    <xf numFmtId="165" fontId="33" fillId="8" borderId="8" xfId="0" applyNumberFormat="1" applyFont="1" applyFill="1" applyBorder="1" applyAlignment="1">
      <alignment horizontal="center" vertical="center"/>
    </xf>
    <xf numFmtId="165" fontId="33" fillId="5" borderId="8" xfId="0" applyNumberFormat="1" applyFont="1" applyFill="1" applyBorder="1" applyAlignment="1">
      <alignment horizontal="center" vertical="center"/>
    </xf>
    <xf numFmtId="1" fontId="33" fillId="5" borderId="8" xfId="0" applyNumberFormat="1" applyFont="1" applyFill="1" applyBorder="1" applyAlignment="1">
      <alignment horizontal="center" vertical="center"/>
    </xf>
    <xf numFmtId="9" fontId="33" fillId="5" borderId="8" xfId="1" applyFont="1" applyFill="1" applyBorder="1" applyAlignment="1" applyProtection="1">
      <alignment horizontal="center" vertical="center"/>
    </xf>
    <xf numFmtId="0" fontId="32" fillId="4" borderId="3" xfId="0" applyFont="1" applyFill="1" applyBorder="1" applyAlignment="1">
      <alignment horizontal="left" vertical="center"/>
    </xf>
    <xf numFmtId="0" fontId="32" fillId="4" borderId="3" xfId="0" applyFont="1" applyFill="1" applyBorder="1" applyAlignment="1">
      <alignment vertical="center"/>
    </xf>
    <xf numFmtId="0" fontId="33" fillId="4" borderId="8" xfId="0" applyFont="1" applyFill="1" applyBorder="1" applyAlignment="1">
      <alignment horizontal="center" vertical="center"/>
    </xf>
    <xf numFmtId="165" fontId="33" fillId="9" borderId="8" xfId="0" applyNumberFormat="1" applyFont="1" applyFill="1" applyBorder="1" applyAlignment="1">
      <alignment horizontal="center" vertical="center"/>
    </xf>
    <xf numFmtId="165" fontId="33" fillId="4" borderId="8" xfId="0" applyNumberFormat="1" applyFont="1" applyFill="1" applyBorder="1" applyAlignment="1">
      <alignment horizontal="center" vertical="center"/>
    </xf>
    <xf numFmtId="1" fontId="33" fillId="4" borderId="8" xfId="0" applyNumberFormat="1" applyFont="1" applyFill="1" applyBorder="1" applyAlignment="1">
      <alignment horizontal="center" vertical="center"/>
    </xf>
    <xf numFmtId="9" fontId="33" fillId="4" borderId="8" xfId="1" applyFont="1" applyFill="1" applyBorder="1" applyAlignment="1" applyProtection="1">
      <alignment horizontal="center" vertical="center"/>
    </xf>
    <xf numFmtId="0" fontId="32" fillId="4" borderId="3" xfId="0" applyFont="1" applyFill="1" applyBorder="1" applyAlignment="1">
      <alignment vertical="center" wrapText="1"/>
    </xf>
    <xf numFmtId="0" fontId="35" fillId="0" borderId="0" xfId="2" applyNumberFormat="1" applyFill="1" applyBorder="1" applyAlignment="1" applyProtection="1"/>
    <xf numFmtId="0" fontId="35" fillId="0" borderId="0" xfId="2" applyAlignment="1" applyProtection="1">
      <alignment horizontal="left"/>
    </xf>
    <xf numFmtId="167" fontId="8" fillId="0" borderId="9" xfId="0" applyNumberFormat="1" applyFont="1" applyBorder="1" applyAlignment="1">
      <alignment horizontal="center" vertical="center" shrinkToFit="1"/>
    </xf>
    <xf numFmtId="167" fontId="8" fillId="0" borderId="10" xfId="0" applyNumberFormat="1" applyFont="1" applyBorder="1" applyAlignment="1">
      <alignment horizontal="center" vertical="center" shrinkToFit="1"/>
    </xf>
    <xf numFmtId="167" fontId="8" fillId="0" borderId="11" xfId="0" applyNumberFormat="1" applyFont="1" applyBorder="1" applyAlignment="1">
      <alignment horizontal="center" vertical="center" shrinkToFit="1"/>
    </xf>
    <xf numFmtId="0" fontId="19" fillId="0" borderId="12" xfId="0" applyFont="1" applyBorder="1" applyAlignment="1">
      <alignment horizontal="center" vertical="center" shrinkToFit="1"/>
    </xf>
    <xf numFmtId="0" fontId="19" fillId="0" borderId="13" xfId="0" applyFont="1" applyBorder="1" applyAlignment="1">
      <alignment horizontal="center" vertical="center" shrinkToFit="1"/>
    </xf>
    <xf numFmtId="0" fontId="19" fillId="0" borderId="14" xfId="0" applyFont="1" applyBorder="1" applyAlignment="1">
      <alignment horizontal="center" vertical="center" shrinkToFit="1"/>
    </xf>
    <xf numFmtId="1" fontId="38" fillId="4" borderId="7" xfId="0" applyNumberFormat="1" applyFont="1" applyFill="1" applyBorder="1" applyAlignment="1">
      <alignment horizontal="center" vertical="center"/>
    </xf>
    <xf numFmtId="0" fontId="19" fillId="4" borderId="7" xfId="0" applyFont="1" applyFill="1" applyBorder="1" applyAlignment="1">
      <alignment horizontal="left" vertical="center"/>
    </xf>
    <xf numFmtId="1" fontId="39" fillId="0" borderId="8" xfId="0" applyNumberFormat="1" applyFont="1" applyBorder="1" applyAlignment="1">
      <alignment horizontal="center" vertical="center"/>
    </xf>
    <xf numFmtId="1" fontId="40" fillId="5" borderId="8" xfId="0" applyNumberFormat="1" applyFont="1" applyFill="1" applyBorder="1" applyAlignment="1">
      <alignment horizontal="center" vertical="center"/>
    </xf>
    <xf numFmtId="9" fontId="20" fillId="5" borderId="3" xfId="0" applyNumberFormat="1" applyFont="1" applyFill="1" applyBorder="1" applyAlignment="1">
      <alignment horizontal="left" vertical="center"/>
    </xf>
    <xf numFmtId="1" fontId="39" fillId="5" borderId="8" xfId="0" applyNumberFormat="1" applyFont="1" applyFill="1" applyBorder="1" applyAlignment="1">
      <alignment horizontal="center" vertical="center"/>
    </xf>
    <xf numFmtId="1" fontId="39" fillId="4" borderId="8" xfId="0" applyNumberFormat="1" applyFont="1" applyFill="1" applyBorder="1" applyAlignment="1">
      <alignment horizontal="center" vertical="center"/>
    </xf>
    <xf numFmtId="0" fontId="19" fillId="4" borderId="3" xfId="0" applyFont="1" applyFill="1" applyBorder="1" applyAlignment="1">
      <alignment horizontal="left" vertical="center"/>
    </xf>
    <xf numFmtId="0" fontId="11" fillId="0" borderId="0" xfId="0" quotePrefix="1" applyFont="1" applyAlignment="1">
      <alignment horizontal="left" wrapText="1" indent="1"/>
    </xf>
    <xf numFmtId="0" fontId="11" fillId="0" borderId="0" xfId="0" quotePrefix="1" applyFont="1" applyAlignment="1">
      <alignment wrapText="1"/>
    </xf>
    <xf numFmtId="0" fontId="36" fillId="0" borderId="0" xfId="2" applyFont="1" applyBorder="1" applyAlignment="1" applyProtection="1">
      <alignment horizontal="left" vertical="center"/>
    </xf>
    <xf numFmtId="164" fontId="28" fillId="0" borderId="4" xfId="0" applyNumberFormat="1" applyFont="1" applyBorder="1" applyAlignment="1" applyProtection="1">
      <alignment horizontal="center" vertical="center" shrinkToFit="1"/>
      <protection locked="0"/>
    </xf>
    <xf numFmtId="0" fontId="37" fillId="0" borderId="9" xfId="0" applyFont="1" applyBorder="1" applyAlignment="1">
      <alignment horizontal="center" vertical="center"/>
    </xf>
    <xf numFmtId="0" fontId="37" fillId="0" borderId="10" xfId="0" applyFont="1" applyBorder="1" applyAlignment="1">
      <alignment horizontal="center" vertical="center"/>
    </xf>
    <xf numFmtId="0" fontId="37" fillId="0" borderId="11" xfId="0" applyFont="1" applyBorder="1" applyAlignment="1">
      <alignment horizontal="center" vertical="center"/>
    </xf>
    <xf numFmtId="164" fontId="28" fillId="0" borderId="5" xfId="0" applyNumberFormat="1" applyFont="1" applyBorder="1" applyAlignment="1" applyProtection="1">
      <alignment horizontal="center" vertical="center" shrinkToFit="1"/>
      <protection locked="0"/>
    </xf>
    <xf numFmtId="166" fontId="28" fillId="0" borderId="9" xfId="0" applyNumberFormat="1" applyFont="1" applyBorder="1" applyAlignment="1">
      <alignment horizontal="center" vertical="center"/>
    </xf>
    <xf numFmtId="166" fontId="28" fillId="0" borderId="10" xfId="0" applyNumberFormat="1" applyFont="1" applyBorder="1" applyAlignment="1">
      <alignment horizontal="center" vertical="center"/>
    </xf>
    <xf numFmtId="166" fontId="28" fillId="0" borderId="11" xfId="0" applyNumberFormat="1" applyFont="1" applyBorder="1" applyAlignment="1">
      <alignment horizontal="center" vertical="center"/>
    </xf>
    <xf numFmtId="0" fontId="9" fillId="0" borderId="0" xfId="0" applyFont="1" applyAlignment="1">
      <alignment horizontal="left"/>
    </xf>
  </cellXfs>
  <cellStyles count="3">
    <cellStyle name="Hyperlink" xfId="2" builtinId="8"/>
    <cellStyle name="Normal" xfId="0" builtinId="0"/>
    <cellStyle name="Percent" xfId="1" builtinId="5"/>
  </cellStyles>
  <dxfs count="4">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ont>
        <color theme="0"/>
      </font>
      <fill>
        <patternFill patternType="solid">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Scroll" dx="22" fmlaLink="$H$4" horiz="1" max="100" min="1" page="0"/>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7</xdr:col>
      <xdr:colOff>95250</xdr:colOff>
      <xdr:row>5</xdr:row>
      <xdr:rowOff>142875</xdr:rowOff>
    </xdr:from>
    <xdr:to>
      <xdr:col>27</xdr:col>
      <xdr:colOff>28575</xdr:colOff>
      <xdr:row>9</xdr:row>
      <xdr:rowOff>261408</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a:xfrm>
          <a:off x="4953000" y="1362075"/>
          <a:ext cx="3419475" cy="1089660"/>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8</xdr:col>
          <xdr:colOff>104775</xdr:colOff>
          <xdr:row>1</xdr:row>
          <xdr:rowOff>123825</xdr:rowOff>
        </xdr:from>
        <xdr:to>
          <xdr:col>26</xdr:col>
          <xdr:colOff>104775</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57750" y="0"/>
          <a:ext cx="1504950" cy="3384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33215" y="0"/>
          <a:ext cx="1609725" cy="361950"/>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M28"/>
  <sheetViews>
    <sheetView showGridLines="0" tabSelected="1" workbookViewId="0">
      <pane ySplit="7" topLeftCell="A8" activePane="bottomLeft" state="frozen"/>
      <selection pane="bottomLeft" activeCell="A4" sqref="A4"/>
    </sheetView>
  </sheetViews>
  <sheetFormatPr defaultColWidth="9.140625" defaultRowHeight="12.75"/>
  <cols>
    <col min="1" max="1" width="8.28515625" customWidth="1"/>
    <col min="2" max="2" width="26.85546875" customWidth="1"/>
    <col min="3" max="3" width="7.7109375" customWidth="1"/>
    <col min="4" max="4" width="6.85546875" hidden="1" customWidth="1"/>
    <col min="5" max="6" width="12" customWidth="1"/>
    <col min="7" max="7" width="6" customWidth="1"/>
    <col min="8" max="8" width="6.7109375" customWidth="1"/>
    <col min="9" max="9" width="1.85546875" customWidth="1"/>
    <col min="10" max="65" width="2.42578125" customWidth="1"/>
  </cols>
  <sheetData>
    <row r="1" spans="1:65" ht="30" customHeight="1">
      <c r="A1" s="48" t="s">
        <v>0</v>
      </c>
      <c r="B1" s="49"/>
      <c r="C1" s="49"/>
      <c r="D1" s="49"/>
      <c r="E1" s="49"/>
      <c r="F1" s="49"/>
      <c r="J1" s="117"/>
      <c r="K1" s="117"/>
      <c r="L1" s="117"/>
      <c r="M1" s="117"/>
      <c r="N1" s="117"/>
      <c r="O1" s="117"/>
      <c r="P1" s="117"/>
      <c r="Q1" s="117"/>
      <c r="R1" s="117"/>
      <c r="S1" s="117"/>
      <c r="T1" s="117"/>
      <c r="U1" s="117"/>
      <c r="V1" s="117"/>
      <c r="W1" s="117"/>
      <c r="X1" s="117"/>
      <c r="Y1" s="117"/>
      <c r="Z1" s="117"/>
      <c r="AA1" s="117"/>
      <c r="AB1" s="117"/>
      <c r="AC1" s="117"/>
      <c r="AD1" s="117"/>
    </row>
    <row r="2" spans="1:65" ht="18" customHeight="1">
      <c r="A2" s="50" t="s">
        <v>1</v>
      </c>
      <c r="B2" s="51"/>
      <c r="C2" s="51"/>
      <c r="D2" s="52"/>
      <c r="E2" s="53"/>
      <c r="F2" s="53"/>
      <c r="H2" s="54"/>
    </row>
    <row r="3" spans="1:65" ht="14.25">
      <c r="A3" s="50" t="s">
        <v>124</v>
      </c>
      <c r="B3" s="1"/>
      <c r="H3" s="54"/>
      <c r="J3" s="100"/>
      <c r="K3" s="100"/>
      <c r="L3" s="100"/>
      <c r="M3" s="100"/>
      <c r="N3" s="100"/>
      <c r="O3" s="100"/>
      <c r="P3" s="100"/>
      <c r="Q3" s="100"/>
      <c r="R3" s="100"/>
      <c r="S3" s="100"/>
      <c r="T3" s="100"/>
      <c r="U3" s="100"/>
      <c r="V3" s="100"/>
      <c r="W3" s="100"/>
      <c r="X3" s="100"/>
      <c r="Y3" s="100"/>
      <c r="Z3" s="100"/>
    </row>
    <row r="4" spans="1:65" ht="17.25" customHeight="1">
      <c r="A4" s="55"/>
      <c r="B4" s="56" t="s">
        <v>2</v>
      </c>
      <c r="C4" s="118">
        <v>45915</v>
      </c>
      <c r="D4" s="118"/>
      <c r="E4" s="118"/>
      <c r="F4" s="55"/>
      <c r="G4" s="56" t="s">
        <v>3</v>
      </c>
      <c r="H4" s="57">
        <v>1</v>
      </c>
      <c r="I4" s="58"/>
      <c r="J4" s="119" t="str">
        <f>"Week "&amp;(J6-($C$4-WEEKDAY($C$4,1)+2))/7+1</f>
        <v>Week 1</v>
      </c>
      <c r="K4" s="120"/>
      <c r="L4" s="120"/>
      <c r="M4" s="120"/>
      <c r="N4" s="120"/>
      <c r="O4" s="120"/>
      <c r="P4" s="121"/>
      <c r="Q4" s="119" t="str">
        <f>"Week "&amp;(Q6-($C$4-WEEKDAY($C$4,1)+2))/7+1</f>
        <v>Week 2</v>
      </c>
      <c r="R4" s="120"/>
      <c r="S4" s="120"/>
      <c r="T4" s="120"/>
      <c r="U4" s="120"/>
      <c r="V4" s="120"/>
      <c r="W4" s="121"/>
      <c r="X4" s="119" t="str">
        <f>"Week "&amp;(X6-($C$4-WEEKDAY($C$4,1)+2))/7+1</f>
        <v>Week 3</v>
      </c>
      <c r="Y4" s="120"/>
      <c r="Z4" s="120"/>
      <c r="AA4" s="120"/>
      <c r="AB4" s="120"/>
      <c r="AC4" s="120"/>
      <c r="AD4" s="121"/>
      <c r="AE4" s="119" t="str">
        <f>"Week "&amp;(AE6-($C$4-WEEKDAY($C$4,1)+2))/7+1</f>
        <v>Week 4</v>
      </c>
      <c r="AF4" s="120"/>
      <c r="AG4" s="120"/>
      <c r="AH4" s="120"/>
      <c r="AI4" s="120"/>
      <c r="AJ4" s="120"/>
      <c r="AK4" s="121"/>
      <c r="AL4" s="119" t="str">
        <f>"Week "&amp;(AL6-($C$4-WEEKDAY($C$4,1)+2))/7+1</f>
        <v>Week 5</v>
      </c>
      <c r="AM4" s="120"/>
      <c r="AN4" s="120"/>
      <c r="AO4" s="120"/>
      <c r="AP4" s="120"/>
      <c r="AQ4" s="120"/>
      <c r="AR4" s="121"/>
      <c r="AS4" s="119" t="str">
        <f>"Week "&amp;(AS6-($C$4-WEEKDAY($C$4,1)+2))/7+1</f>
        <v>Week 6</v>
      </c>
      <c r="AT4" s="120"/>
      <c r="AU4" s="120"/>
      <c r="AV4" s="120"/>
      <c r="AW4" s="120"/>
      <c r="AX4" s="120"/>
      <c r="AY4" s="121"/>
      <c r="AZ4" s="119" t="str">
        <f>"Week "&amp;(AZ6-($C$4-WEEKDAY($C$4,1)+2))/7+1</f>
        <v>Week 7</v>
      </c>
      <c r="BA4" s="120"/>
      <c r="BB4" s="120"/>
      <c r="BC4" s="120"/>
      <c r="BD4" s="120"/>
      <c r="BE4" s="120"/>
      <c r="BF4" s="121"/>
      <c r="BG4" s="119" t="str">
        <f>"Week "&amp;(BG6-($C$4-WEEKDAY($C$4,1)+2))/7+1</f>
        <v>Week 8</v>
      </c>
      <c r="BH4" s="120"/>
      <c r="BI4" s="120"/>
      <c r="BJ4" s="120"/>
      <c r="BK4" s="120"/>
      <c r="BL4" s="120"/>
      <c r="BM4" s="121"/>
    </row>
    <row r="5" spans="1:65" ht="17.25" customHeight="1">
      <c r="A5" s="55"/>
      <c r="B5" s="56"/>
      <c r="C5" s="122"/>
      <c r="D5" s="122"/>
      <c r="E5" s="122"/>
      <c r="F5" s="55"/>
      <c r="G5" s="55"/>
      <c r="H5" s="55"/>
      <c r="I5" s="58"/>
      <c r="J5" s="123">
        <f>J6</f>
        <v>45915</v>
      </c>
      <c r="K5" s="124"/>
      <c r="L5" s="124"/>
      <c r="M5" s="124"/>
      <c r="N5" s="124"/>
      <c r="O5" s="124"/>
      <c r="P5" s="125"/>
      <c r="Q5" s="123">
        <f>Q6</f>
        <v>45922</v>
      </c>
      <c r="R5" s="124"/>
      <c r="S5" s="124"/>
      <c r="T5" s="124"/>
      <c r="U5" s="124"/>
      <c r="V5" s="124"/>
      <c r="W5" s="125"/>
      <c r="X5" s="123">
        <f>X6</f>
        <v>45929</v>
      </c>
      <c r="Y5" s="124"/>
      <c r="Z5" s="124"/>
      <c r="AA5" s="124"/>
      <c r="AB5" s="124"/>
      <c r="AC5" s="124"/>
      <c r="AD5" s="125"/>
      <c r="AE5" s="123">
        <f>AE6</f>
        <v>45936</v>
      </c>
      <c r="AF5" s="124"/>
      <c r="AG5" s="124"/>
      <c r="AH5" s="124"/>
      <c r="AI5" s="124"/>
      <c r="AJ5" s="124"/>
      <c r="AK5" s="125"/>
      <c r="AL5" s="123">
        <f>AL6</f>
        <v>45943</v>
      </c>
      <c r="AM5" s="124"/>
      <c r="AN5" s="124"/>
      <c r="AO5" s="124"/>
      <c r="AP5" s="124"/>
      <c r="AQ5" s="124"/>
      <c r="AR5" s="125"/>
      <c r="AS5" s="123">
        <f>AS6</f>
        <v>45950</v>
      </c>
      <c r="AT5" s="124"/>
      <c r="AU5" s="124"/>
      <c r="AV5" s="124"/>
      <c r="AW5" s="124"/>
      <c r="AX5" s="124"/>
      <c r="AY5" s="125"/>
      <c r="AZ5" s="123">
        <f>AZ6</f>
        <v>45957</v>
      </c>
      <c r="BA5" s="124"/>
      <c r="BB5" s="124"/>
      <c r="BC5" s="124"/>
      <c r="BD5" s="124"/>
      <c r="BE5" s="124"/>
      <c r="BF5" s="125"/>
      <c r="BG5" s="123">
        <f>BG6</f>
        <v>45964</v>
      </c>
      <c r="BH5" s="124"/>
      <c r="BI5" s="124"/>
      <c r="BJ5" s="124"/>
      <c r="BK5" s="124"/>
      <c r="BL5" s="124"/>
      <c r="BM5" s="125"/>
    </row>
    <row r="6" spans="1:65">
      <c r="A6" s="58"/>
      <c r="B6" s="58"/>
      <c r="C6" s="58"/>
      <c r="D6" s="58"/>
      <c r="E6" s="58"/>
      <c r="F6" s="58"/>
      <c r="G6" s="58"/>
      <c r="H6" s="58"/>
      <c r="I6" s="58"/>
      <c r="J6" s="101">
        <f>C4-WEEKDAY(C4,1)+2+7*(H4-1)</f>
        <v>45915</v>
      </c>
      <c r="K6" s="102">
        <f t="shared" ref="K6:AP6" si="0">J6+1</f>
        <v>45916</v>
      </c>
      <c r="L6" s="102">
        <f t="shared" si="0"/>
        <v>45917</v>
      </c>
      <c r="M6" s="102">
        <f t="shared" si="0"/>
        <v>45918</v>
      </c>
      <c r="N6" s="102">
        <f t="shared" si="0"/>
        <v>45919</v>
      </c>
      <c r="O6" s="102">
        <f t="shared" si="0"/>
        <v>45920</v>
      </c>
      <c r="P6" s="103">
        <f t="shared" si="0"/>
        <v>45921</v>
      </c>
      <c r="Q6" s="101">
        <f t="shared" si="0"/>
        <v>45922</v>
      </c>
      <c r="R6" s="102">
        <f t="shared" si="0"/>
        <v>45923</v>
      </c>
      <c r="S6" s="102">
        <f t="shared" si="0"/>
        <v>45924</v>
      </c>
      <c r="T6" s="102">
        <f t="shared" si="0"/>
        <v>45925</v>
      </c>
      <c r="U6" s="102">
        <f t="shared" si="0"/>
        <v>45926</v>
      </c>
      <c r="V6" s="102">
        <f t="shared" si="0"/>
        <v>45927</v>
      </c>
      <c r="W6" s="103">
        <f t="shared" si="0"/>
        <v>45928</v>
      </c>
      <c r="X6" s="101">
        <f t="shared" si="0"/>
        <v>45929</v>
      </c>
      <c r="Y6" s="102">
        <f t="shared" si="0"/>
        <v>45930</v>
      </c>
      <c r="Z6" s="102">
        <f t="shared" si="0"/>
        <v>45931</v>
      </c>
      <c r="AA6" s="102">
        <f t="shared" si="0"/>
        <v>45932</v>
      </c>
      <c r="AB6" s="102">
        <f t="shared" si="0"/>
        <v>45933</v>
      </c>
      <c r="AC6" s="102">
        <f t="shared" si="0"/>
        <v>45934</v>
      </c>
      <c r="AD6" s="103">
        <f t="shared" si="0"/>
        <v>45935</v>
      </c>
      <c r="AE6" s="101">
        <f t="shared" si="0"/>
        <v>45936</v>
      </c>
      <c r="AF6" s="102">
        <f t="shared" si="0"/>
        <v>45937</v>
      </c>
      <c r="AG6" s="102">
        <f t="shared" si="0"/>
        <v>45938</v>
      </c>
      <c r="AH6" s="102">
        <f t="shared" si="0"/>
        <v>45939</v>
      </c>
      <c r="AI6" s="102">
        <f t="shared" si="0"/>
        <v>45940</v>
      </c>
      <c r="AJ6" s="102">
        <f t="shared" si="0"/>
        <v>45941</v>
      </c>
      <c r="AK6" s="103">
        <f t="shared" si="0"/>
        <v>45942</v>
      </c>
      <c r="AL6" s="101">
        <f t="shared" si="0"/>
        <v>45943</v>
      </c>
      <c r="AM6" s="102">
        <f t="shared" si="0"/>
        <v>45944</v>
      </c>
      <c r="AN6" s="102">
        <f t="shared" si="0"/>
        <v>45945</v>
      </c>
      <c r="AO6" s="102">
        <f t="shared" si="0"/>
        <v>45946</v>
      </c>
      <c r="AP6" s="102">
        <f t="shared" si="0"/>
        <v>45947</v>
      </c>
      <c r="AQ6" s="102">
        <f t="shared" ref="AQ6:BM6" si="1">AP6+1</f>
        <v>45948</v>
      </c>
      <c r="AR6" s="103">
        <f t="shared" si="1"/>
        <v>45949</v>
      </c>
      <c r="AS6" s="101">
        <f t="shared" si="1"/>
        <v>45950</v>
      </c>
      <c r="AT6" s="102">
        <f t="shared" si="1"/>
        <v>45951</v>
      </c>
      <c r="AU6" s="102">
        <f t="shared" si="1"/>
        <v>45952</v>
      </c>
      <c r="AV6" s="102">
        <f t="shared" si="1"/>
        <v>45953</v>
      </c>
      <c r="AW6" s="102">
        <f t="shared" si="1"/>
        <v>45954</v>
      </c>
      <c r="AX6" s="102">
        <f t="shared" si="1"/>
        <v>45955</v>
      </c>
      <c r="AY6" s="103">
        <f t="shared" si="1"/>
        <v>45956</v>
      </c>
      <c r="AZ6" s="101">
        <f t="shared" si="1"/>
        <v>45957</v>
      </c>
      <c r="BA6" s="102">
        <f t="shared" si="1"/>
        <v>45958</v>
      </c>
      <c r="BB6" s="102">
        <f t="shared" si="1"/>
        <v>45959</v>
      </c>
      <c r="BC6" s="102">
        <f t="shared" si="1"/>
        <v>45960</v>
      </c>
      <c r="BD6" s="102">
        <f t="shared" si="1"/>
        <v>45961</v>
      </c>
      <c r="BE6" s="102">
        <f t="shared" si="1"/>
        <v>45962</v>
      </c>
      <c r="BF6" s="103">
        <f t="shared" si="1"/>
        <v>45963</v>
      </c>
      <c r="BG6" s="101">
        <f t="shared" si="1"/>
        <v>45964</v>
      </c>
      <c r="BH6" s="102">
        <f t="shared" si="1"/>
        <v>45965</v>
      </c>
      <c r="BI6" s="102">
        <f t="shared" si="1"/>
        <v>45966</v>
      </c>
      <c r="BJ6" s="102">
        <f t="shared" si="1"/>
        <v>45967</v>
      </c>
      <c r="BK6" s="102">
        <f t="shared" si="1"/>
        <v>45968</v>
      </c>
      <c r="BL6" s="102">
        <f t="shared" si="1"/>
        <v>45969</v>
      </c>
      <c r="BM6" s="103">
        <f t="shared" si="1"/>
        <v>45970</v>
      </c>
    </row>
    <row r="7" spans="1:65" s="1" customFormat="1" ht="24">
      <c r="A7" s="59" t="s">
        <v>4</v>
      </c>
      <c r="B7" s="59" t="s">
        <v>5</v>
      </c>
      <c r="C7" s="60" t="s">
        <v>6</v>
      </c>
      <c r="D7" s="61" t="s">
        <v>7</v>
      </c>
      <c r="E7" s="62" t="s">
        <v>8</v>
      </c>
      <c r="F7" s="62" t="s">
        <v>9</v>
      </c>
      <c r="G7" s="60" t="s">
        <v>10</v>
      </c>
      <c r="H7" s="60" t="s">
        <v>11</v>
      </c>
      <c r="I7" s="60"/>
      <c r="J7" s="104" t="str">
        <f t="shared" ref="J7:AO7" si="2">CHOOSE(WEEKDAY(J6,1),"S","M","T","W","T","F","S")</f>
        <v>M</v>
      </c>
      <c r="K7" s="105" t="str">
        <f t="shared" si="2"/>
        <v>T</v>
      </c>
      <c r="L7" s="105" t="str">
        <f t="shared" si="2"/>
        <v>W</v>
      </c>
      <c r="M7" s="105" t="str">
        <f t="shared" si="2"/>
        <v>T</v>
      </c>
      <c r="N7" s="105" t="str">
        <f t="shared" si="2"/>
        <v>F</v>
      </c>
      <c r="O7" s="105" t="str">
        <f t="shared" si="2"/>
        <v>S</v>
      </c>
      <c r="P7" s="106" t="str">
        <f t="shared" si="2"/>
        <v>S</v>
      </c>
      <c r="Q7" s="104" t="str">
        <f t="shared" si="2"/>
        <v>M</v>
      </c>
      <c r="R7" s="105" t="str">
        <f t="shared" si="2"/>
        <v>T</v>
      </c>
      <c r="S7" s="105" t="str">
        <f t="shared" si="2"/>
        <v>W</v>
      </c>
      <c r="T7" s="105" t="str">
        <f t="shared" si="2"/>
        <v>T</v>
      </c>
      <c r="U7" s="105" t="str">
        <f t="shared" si="2"/>
        <v>F</v>
      </c>
      <c r="V7" s="105" t="str">
        <f t="shared" si="2"/>
        <v>S</v>
      </c>
      <c r="W7" s="106" t="str">
        <f t="shared" si="2"/>
        <v>S</v>
      </c>
      <c r="X7" s="104" t="str">
        <f t="shared" si="2"/>
        <v>M</v>
      </c>
      <c r="Y7" s="105" t="str">
        <f t="shared" si="2"/>
        <v>T</v>
      </c>
      <c r="Z7" s="105" t="str">
        <f t="shared" si="2"/>
        <v>W</v>
      </c>
      <c r="AA7" s="105" t="str">
        <f t="shared" si="2"/>
        <v>T</v>
      </c>
      <c r="AB7" s="105" t="str">
        <f t="shared" si="2"/>
        <v>F</v>
      </c>
      <c r="AC7" s="105" t="str">
        <f t="shared" si="2"/>
        <v>S</v>
      </c>
      <c r="AD7" s="106" t="str">
        <f t="shared" si="2"/>
        <v>S</v>
      </c>
      <c r="AE7" s="104" t="str">
        <f t="shared" si="2"/>
        <v>M</v>
      </c>
      <c r="AF7" s="105" t="str">
        <f t="shared" si="2"/>
        <v>T</v>
      </c>
      <c r="AG7" s="105" t="str">
        <f t="shared" si="2"/>
        <v>W</v>
      </c>
      <c r="AH7" s="105" t="str">
        <f t="shared" si="2"/>
        <v>T</v>
      </c>
      <c r="AI7" s="105" t="str">
        <f t="shared" si="2"/>
        <v>F</v>
      </c>
      <c r="AJ7" s="105" t="str">
        <f t="shared" si="2"/>
        <v>S</v>
      </c>
      <c r="AK7" s="106" t="str">
        <f t="shared" si="2"/>
        <v>S</v>
      </c>
      <c r="AL7" s="104" t="str">
        <f t="shared" si="2"/>
        <v>M</v>
      </c>
      <c r="AM7" s="105" t="str">
        <f t="shared" si="2"/>
        <v>T</v>
      </c>
      <c r="AN7" s="105" t="str">
        <f t="shared" si="2"/>
        <v>W</v>
      </c>
      <c r="AO7" s="105" t="str">
        <f t="shared" si="2"/>
        <v>T</v>
      </c>
      <c r="AP7" s="105" t="str">
        <f t="shared" ref="AP7:BM7" si="3">CHOOSE(WEEKDAY(AP6,1),"S","M","T","W","T","F","S")</f>
        <v>F</v>
      </c>
      <c r="AQ7" s="105" t="str">
        <f t="shared" si="3"/>
        <v>S</v>
      </c>
      <c r="AR7" s="106" t="str">
        <f t="shared" si="3"/>
        <v>S</v>
      </c>
      <c r="AS7" s="104" t="str">
        <f t="shared" si="3"/>
        <v>M</v>
      </c>
      <c r="AT7" s="105" t="str">
        <f t="shared" si="3"/>
        <v>T</v>
      </c>
      <c r="AU7" s="105" t="str">
        <f t="shared" si="3"/>
        <v>W</v>
      </c>
      <c r="AV7" s="105" t="str">
        <f t="shared" si="3"/>
        <v>T</v>
      </c>
      <c r="AW7" s="105" t="str">
        <f t="shared" si="3"/>
        <v>F</v>
      </c>
      <c r="AX7" s="105" t="str">
        <f t="shared" si="3"/>
        <v>S</v>
      </c>
      <c r="AY7" s="106" t="str">
        <f t="shared" si="3"/>
        <v>S</v>
      </c>
      <c r="AZ7" s="104" t="str">
        <f t="shared" si="3"/>
        <v>M</v>
      </c>
      <c r="BA7" s="105" t="str">
        <f t="shared" si="3"/>
        <v>T</v>
      </c>
      <c r="BB7" s="105" t="str">
        <f t="shared" si="3"/>
        <v>W</v>
      </c>
      <c r="BC7" s="105" t="str">
        <f t="shared" si="3"/>
        <v>T</v>
      </c>
      <c r="BD7" s="105" t="str">
        <f t="shared" si="3"/>
        <v>F</v>
      </c>
      <c r="BE7" s="105" t="str">
        <f t="shared" si="3"/>
        <v>S</v>
      </c>
      <c r="BF7" s="106" t="str">
        <f t="shared" si="3"/>
        <v>S</v>
      </c>
      <c r="BG7" s="104" t="str">
        <f t="shared" si="3"/>
        <v>M</v>
      </c>
      <c r="BH7" s="105" t="str">
        <f t="shared" si="3"/>
        <v>T</v>
      </c>
      <c r="BI7" s="105" t="str">
        <f t="shared" si="3"/>
        <v>W</v>
      </c>
      <c r="BJ7" s="105" t="str">
        <f t="shared" si="3"/>
        <v>T</v>
      </c>
      <c r="BK7" s="105" t="str">
        <f t="shared" si="3"/>
        <v>F</v>
      </c>
      <c r="BL7" s="105" t="str">
        <f t="shared" si="3"/>
        <v>S</v>
      </c>
      <c r="BM7" s="106" t="str">
        <f t="shared" si="3"/>
        <v>S</v>
      </c>
    </row>
    <row r="8" spans="1:65" s="43" customFormat="1" ht="18">
      <c r="A8" s="63" t="s">
        <v>12</v>
      </c>
      <c r="B8" s="64" t="s">
        <v>13</v>
      </c>
      <c r="C8" s="65"/>
      <c r="D8" s="66"/>
      <c r="E8" s="67">
        <f>MIN(E9:E11)</f>
        <v>45921</v>
      </c>
      <c r="F8" s="67">
        <f>MAX(F9:F11)</f>
        <v>45976</v>
      </c>
      <c r="G8" s="68">
        <f>F8-E8+1</f>
        <v>56</v>
      </c>
      <c r="H8" s="69"/>
      <c r="I8" s="107"/>
      <c r="J8" s="108"/>
      <c r="K8" s="108"/>
      <c r="L8" s="108"/>
      <c r="M8" s="108"/>
      <c r="N8" s="108"/>
      <c r="O8" s="108"/>
      <c r="P8" s="108"/>
      <c r="Q8" s="108"/>
      <c r="R8" s="108"/>
      <c r="S8" s="108"/>
      <c r="T8" s="108"/>
      <c r="U8" s="108"/>
      <c r="V8" s="108"/>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c r="AU8" s="108"/>
      <c r="AV8" s="108"/>
      <c r="AW8" s="108"/>
      <c r="AX8" s="108"/>
      <c r="AY8" s="108"/>
      <c r="AZ8" s="108"/>
      <c r="BA8" s="108"/>
      <c r="BB8" s="108"/>
      <c r="BC8" s="108"/>
      <c r="BD8" s="108"/>
      <c r="BE8" s="108"/>
      <c r="BF8" s="108"/>
      <c r="BG8" s="108"/>
      <c r="BH8" s="108"/>
      <c r="BI8" s="108"/>
      <c r="BJ8" s="108"/>
      <c r="BK8" s="108"/>
      <c r="BL8" s="108"/>
      <c r="BM8" s="108"/>
    </row>
    <row r="9" spans="1:65" s="44" customFormat="1" ht="18">
      <c r="A9" s="70" t="s">
        <v>14</v>
      </c>
      <c r="B9" s="44" t="s">
        <v>15</v>
      </c>
      <c r="D9" s="71"/>
      <c r="E9" s="72">
        <v>45921</v>
      </c>
      <c r="F9" s="73">
        <f>E9+G9-1</f>
        <v>45976</v>
      </c>
      <c r="G9" s="74">
        <v>56</v>
      </c>
      <c r="H9" s="75"/>
      <c r="I9" s="109"/>
      <c r="J9" s="70"/>
      <c r="K9" s="70"/>
      <c r="L9" s="70"/>
      <c r="M9" s="70"/>
      <c r="N9" s="70"/>
      <c r="O9" s="70"/>
      <c r="P9" s="70"/>
      <c r="Q9" s="70"/>
      <c r="R9" s="70"/>
      <c r="S9" s="70"/>
      <c r="T9" s="70"/>
      <c r="U9" s="70"/>
      <c r="V9" s="70"/>
      <c r="W9" s="70"/>
      <c r="X9" s="70"/>
      <c r="Y9" s="70"/>
      <c r="Z9" s="70"/>
      <c r="AA9" s="70"/>
      <c r="AB9" s="70"/>
      <c r="AC9" s="70"/>
      <c r="AD9" s="70"/>
      <c r="AE9" s="70"/>
      <c r="AF9" s="70"/>
      <c r="AG9" s="70"/>
      <c r="AH9" s="70"/>
      <c r="AI9" s="70"/>
      <c r="AJ9" s="70"/>
      <c r="AK9" s="70"/>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0"/>
      <c r="BL9" s="70"/>
      <c r="BM9" s="70"/>
    </row>
    <row r="10" spans="1:65" s="44" customFormat="1" ht="24">
      <c r="A10" s="70" t="s">
        <v>16</v>
      </c>
      <c r="B10" s="76" t="s">
        <v>122</v>
      </c>
      <c r="D10" s="71"/>
      <c r="E10" s="72">
        <v>45935</v>
      </c>
      <c r="F10" s="73">
        <f>E10+G10-1</f>
        <v>45945</v>
      </c>
      <c r="G10" s="74">
        <v>11</v>
      </c>
      <c r="H10" s="75"/>
      <c r="I10" s="109"/>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row>
    <row r="11" spans="1:65" s="44" customFormat="1" ht="18">
      <c r="A11" s="70" t="s">
        <v>17</v>
      </c>
      <c r="B11" s="76" t="s">
        <v>123</v>
      </c>
      <c r="D11" s="71"/>
      <c r="E11" s="72">
        <f>F10+1</f>
        <v>45946</v>
      </c>
      <c r="F11" s="73">
        <f>E11+G11-1</f>
        <v>45949</v>
      </c>
      <c r="G11" s="74">
        <v>4</v>
      </c>
      <c r="H11" s="75"/>
      <c r="I11" s="109"/>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row>
    <row r="12" spans="1:65" s="45" customFormat="1" ht="18">
      <c r="A12" s="77"/>
      <c r="B12" s="78" t="s">
        <v>18</v>
      </c>
      <c r="D12" s="79"/>
      <c r="E12" s="80">
        <v>45977</v>
      </c>
      <c r="F12" s="81">
        <f>E12+G12-1</f>
        <v>46010</v>
      </c>
      <c r="G12" s="82">
        <v>34</v>
      </c>
      <c r="H12" s="83"/>
      <c r="I12" s="110"/>
      <c r="J12" s="77"/>
      <c r="K12" s="77"/>
      <c r="L12" s="111"/>
      <c r="M12" s="77"/>
      <c r="N12" s="77"/>
      <c r="O12" s="77"/>
      <c r="P12" s="77"/>
      <c r="Q12" s="77"/>
      <c r="R12" s="77"/>
      <c r="S12" s="77"/>
      <c r="T12" s="77"/>
      <c r="U12" s="77"/>
      <c r="V12" s="77"/>
      <c r="W12" s="77"/>
      <c r="X12" s="77"/>
      <c r="Y12" s="77"/>
      <c r="Z12" s="77"/>
      <c r="AA12" s="77"/>
      <c r="AB12" s="77"/>
      <c r="AC12" s="77"/>
      <c r="AD12" s="77"/>
      <c r="AE12" s="77"/>
      <c r="AF12" s="77"/>
      <c r="AG12" s="77"/>
      <c r="AH12" s="77"/>
      <c r="AI12" s="77"/>
      <c r="AJ12" s="77"/>
      <c r="AK12" s="77"/>
      <c r="AL12" s="77"/>
      <c r="AM12" s="77"/>
      <c r="AN12" s="77"/>
      <c r="AO12" s="77"/>
      <c r="AP12" s="77"/>
      <c r="AQ12" s="77"/>
      <c r="AR12" s="77"/>
      <c r="AS12" s="77"/>
      <c r="AT12" s="77"/>
      <c r="AU12" s="77"/>
      <c r="AV12" s="77"/>
      <c r="AW12" s="77"/>
      <c r="AX12" s="77"/>
      <c r="AY12" s="77"/>
      <c r="AZ12" s="77"/>
      <c r="BA12" s="77"/>
      <c r="BB12" s="77"/>
      <c r="BC12" s="77"/>
      <c r="BD12" s="77"/>
      <c r="BE12" s="77"/>
      <c r="BF12" s="77"/>
      <c r="BG12" s="77"/>
      <c r="BH12" s="77"/>
      <c r="BI12" s="77"/>
      <c r="BJ12" s="77"/>
      <c r="BK12" s="77"/>
      <c r="BL12" s="77"/>
      <c r="BM12" s="77"/>
    </row>
    <row r="13" spans="1:65" s="46" customFormat="1" ht="18">
      <c r="A13" s="84"/>
      <c r="B13" s="85" t="s">
        <v>19</v>
      </c>
      <c r="D13" s="86"/>
      <c r="E13" s="87">
        <v>46037</v>
      </c>
      <c r="F13" s="88">
        <f t="shared" ref="F13" si="4">E13+G13-1</f>
        <v>46037</v>
      </c>
      <c r="G13" s="89">
        <v>1</v>
      </c>
      <c r="H13" s="90"/>
      <c r="I13" s="112"/>
      <c r="J13" s="84"/>
      <c r="K13" s="84"/>
      <c r="L13" s="84"/>
      <c r="M13" s="84"/>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4"/>
      <c r="BJ13" s="84"/>
      <c r="BK13" s="84"/>
      <c r="BL13" s="84"/>
      <c r="BM13" s="84"/>
    </row>
    <row r="14" spans="1:65" s="43" customFormat="1" ht="18">
      <c r="A14" s="91" t="s">
        <v>20</v>
      </c>
      <c r="B14" s="92" t="s">
        <v>21</v>
      </c>
      <c r="D14" s="93"/>
      <c r="E14" s="94">
        <f>MIN(E15:E16)</f>
        <v>46011</v>
      </c>
      <c r="F14" s="95">
        <f>MAX(F15:F16)</f>
        <v>46037</v>
      </c>
      <c r="G14" s="96">
        <f>F14-E14+1</f>
        <v>27</v>
      </c>
      <c r="H14" s="97"/>
      <c r="I14" s="113"/>
      <c r="J14" s="114"/>
      <c r="K14" s="114"/>
      <c r="L14" s="114"/>
      <c r="M14" s="114"/>
      <c r="N14" s="114"/>
      <c r="O14" s="114"/>
      <c r="P14" s="114"/>
      <c r="Q14" s="114"/>
      <c r="R14" s="114"/>
      <c r="S14" s="114"/>
      <c r="T14" s="114"/>
      <c r="U14" s="114"/>
      <c r="V14" s="114"/>
      <c r="W14" s="114"/>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4"/>
      <c r="AY14" s="114"/>
      <c r="AZ14" s="114"/>
      <c r="BA14" s="114"/>
      <c r="BB14" s="114"/>
      <c r="BC14" s="114"/>
      <c r="BD14" s="114"/>
      <c r="BE14" s="114"/>
      <c r="BF14" s="114"/>
      <c r="BG14" s="114"/>
      <c r="BH14" s="114"/>
      <c r="BI14" s="114"/>
      <c r="BJ14" s="114"/>
      <c r="BK14" s="114"/>
      <c r="BL14" s="114"/>
      <c r="BM14" s="114"/>
    </row>
    <row r="15" spans="1:65" s="44" customFormat="1" ht="18">
      <c r="A15" s="70" t="s">
        <v>22</v>
      </c>
      <c r="B15" s="76"/>
      <c r="D15" s="71"/>
      <c r="E15" s="72">
        <v>46011</v>
      </c>
      <c r="F15" s="73">
        <f>E15+G15-1</f>
        <v>46037</v>
      </c>
      <c r="G15" s="74">
        <v>27</v>
      </c>
      <c r="H15" s="75"/>
      <c r="I15" s="109"/>
      <c r="J15" s="70"/>
      <c r="K15" s="70"/>
      <c r="L15" s="70"/>
      <c r="M15" s="70"/>
      <c r="N15" s="70"/>
      <c r="O15" s="70"/>
      <c r="P15" s="70"/>
      <c r="Q15" s="70"/>
      <c r="R15" s="70"/>
      <c r="S15" s="70"/>
      <c r="T15" s="70"/>
      <c r="U15" s="70"/>
      <c r="V15" s="70"/>
      <c r="W15" s="70"/>
      <c r="X15" s="70"/>
      <c r="Y15" s="70"/>
      <c r="Z15" s="70"/>
      <c r="AA15" s="70"/>
      <c r="AB15" s="70"/>
      <c r="AC15" s="70"/>
      <c r="AD15" s="70"/>
      <c r="AE15" s="70"/>
      <c r="AF15" s="70"/>
      <c r="AG15" s="70"/>
      <c r="AH15" s="70"/>
      <c r="AI15" s="70"/>
      <c r="AJ15" s="70"/>
      <c r="AK15" s="70"/>
      <c r="AL15" s="70"/>
      <c r="AM15" s="70"/>
      <c r="AN15" s="70"/>
      <c r="AO15" s="70"/>
      <c r="AP15" s="70"/>
      <c r="AQ15" s="70"/>
      <c r="AR15" s="70"/>
      <c r="AS15" s="70"/>
      <c r="AT15" s="70"/>
      <c r="AU15" s="70"/>
      <c r="AV15" s="70"/>
      <c r="AW15" s="70"/>
      <c r="AX15" s="70"/>
      <c r="AY15" s="70"/>
      <c r="AZ15" s="70"/>
      <c r="BA15" s="70"/>
      <c r="BB15" s="70"/>
      <c r="BC15" s="70"/>
      <c r="BD15" s="70"/>
      <c r="BE15" s="70"/>
      <c r="BF15" s="70"/>
      <c r="BG15" s="70"/>
      <c r="BH15" s="70"/>
      <c r="BI15" s="70"/>
      <c r="BJ15" s="70"/>
      <c r="BK15" s="70"/>
      <c r="BL15" s="70"/>
      <c r="BM15" s="70"/>
    </row>
    <row r="16" spans="1:65" s="44" customFormat="1" ht="18">
      <c r="A16" s="70" t="s">
        <v>23</v>
      </c>
      <c r="B16" s="76"/>
      <c r="D16" s="71"/>
      <c r="E16" s="72">
        <f>F15+1</f>
        <v>46038</v>
      </c>
      <c r="F16" s="73">
        <f>E16+G16-1</f>
        <v>46037</v>
      </c>
      <c r="G16" s="74">
        <v>0</v>
      </c>
      <c r="H16" s="75"/>
      <c r="I16" s="109"/>
      <c r="J16" s="70"/>
      <c r="K16" s="70"/>
      <c r="L16" s="70"/>
      <c r="M16" s="70"/>
      <c r="N16" s="70"/>
      <c r="O16" s="70"/>
      <c r="P16" s="70"/>
      <c r="Q16" s="70"/>
      <c r="R16" s="70"/>
      <c r="S16" s="70"/>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row>
    <row r="17" spans="1:65" s="43" customFormat="1" ht="18">
      <c r="A17" s="91" t="s">
        <v>24</v>
      </c>
      <c r="B17" s="98" t="s">
        <v>25</v>
      </c>
      <c r="D17" s="93"/>
      <c r="E17" s="94">
        <f>MIN(E18:E19)</f>
        <v>46037</v>
      </c>
      <c r="F17" s="95">
        <f>MAX(F18:F19)</f>
        <v>46071</v>
      </c>
      <c r="G17" s="96"/>
      <c r="H17" s="97"/>
      <c r="I17" s="113"/>
      <c r="J17" s="114"/>
      <c r="K17" s="114"/>
      <c r="L17" s="114"/>
      <c r="M17" s="114"/>
      <c r="N17" s="114"/>
      <c r="O17" s="114"/>
      <c r="P17" s="114"/>
      <c r="Q17" s="114"/>
      <c r="R17" s="114"/>
      <c r="S17" s="114"/>
      <c r="T17" s="114"/>
      <c r="U17" s="114"/>
      <c r="V17" s="114"/>
      <c r="W17" s="114"/>
      <c r="X17" s="114"/>
      <c r="Y17" s="114"/>
      <c r="Z17" s="114"/>
      <c r="AA17" s="114"/>
      <c r="AB17" s="114"/>
      <c r="AC17" s="114"/>
      <c r="AD17" s="114"/>
      <c r="AE17" s="114"/>
      <c r="AF17" s="114"/>
      <c r="AG17" s="114"/>
      <c r="AH17" s="114"/>
      <c r="AI17" s="114"/>
      <c r="AJ17" s="114"/>
      <c r="AK17" s="114"/>
      <c r="AL17" s="114"/>
      <c r="AM17" s="114"/>
      <c r="AN17" s="114"/>
      <c r="AO17" s="114"/>
      <c r="AP17" s="114"/>
      <c r="AQ17" s="114"/>
      <c r="AR17" s="114"/>
      <c r="AS17" s="114"/>
      <c r="AT17" s="114"/>
      <c r="AU17" s="114"/>
      <c r="AV17" s="114"/>
      <c r="AW17" s="114"/>
      <c r="AX17" s="114"/>
      <c r="AY17" s="114"/>
      <c r="AZ17" s="114"/>
      <c r="BA17" s="114"/>
      <c r="BB17" s="114"/>
      <c r="BC17" s="114"/>
      <c r="BD17" s="114"/>
      <c r="BE17" s="114"/>
      <c r="BF17" s="114"/>
      <c r="BG17" s="114"/>
      <c r="BH17" s="114"/>
      <c r="BI17" s="114"/>
      <c r="BJ17" s="114"/>
      <c r="BK17" s="114"/>
      <c r="BL17" s="114"/>
      <c r="BM17" s="114"/>
    </row>
    <row r="18" spans="1:65" s="44" customFormat="1" ht="18">
      <c r="A18" s="70" t="s">
        <v>26</v>
      </c>
      <c r="B18" s="76"/>
      <c r="D18" s="71"/>
      <c r="E18" s="72">
        <v>46037</v>
      </c>
      <c r="F18" s="73">
        <f>E18+G18-1</f>
        <v>46071</v>
      </c>
      <c r="G18" s="74">
        <v>35</v>
      </c>
      <c r="H18" s="75"/>
      <c r="I18" s="109"/>
      <c r="J18" s="70"/>
      <c r="K18" s="70"/>
      <c r="L18" s="70"/>
      <c r="M18" s="70"/>
      <c r="N18" s="70"/>
      <c r="O18" s="70"/>
      <c r="P18" s="70"/>
      <c r="Q18" s="70"/>
      <c r="R18" s="70"/>
      <c r="S18" s="70"/>
      <c r="T18" s="70"/>
      <c r="U18" s="70"/>
      <c r="V18" s="70"/>
      <c r="W18" s="70"/>
      <c r="X18" s="70"/>
      <c r="Y18" s="70"/>
      <c r="Z18" s="70"/>
      <c r="AA18" s="70"/>
      <c r="AB18" s="70"/>
      <c r="AC18" s="70"/>
      <c r="AD18" s="70"/>
      <c r="AE18" s="70"/>
      <c r="AF18" s="70"/>
      <c r="AG18" s="70"/>
      <c r="AH18" s="70"/>
      <c r="AI18" s="70"/>
      <c r="AJ18" s="70"/>
      <c r="AK18" s="70"/>
      <c r="AL18" s="70"/>
      <c r="AM18" s="70"/>
      <c r="AN18" s="70"/>
      <c r="AO18" s="70"/>
      <c r="AP18" s="70"/>
      <c r="AQ18" s="70"/>
      <c r="AR18" s="70"/>
      <c r="AS18" s="70"/>
      <c r="AT18" s="70"/>
      <c r="AU18" s="70"/>
      <c r="AV18" s="70"/>
      <c r="AW18" s="70"/>
      <c r="AX18" s="70"/>
      <c r="AY18" s="70"/>
      <c r="AZ18" s="70"/>
      <c r="BA18" s="70"/>
      <c r="BB18" s="70"/>
      <c r="BC18" s="70"/>
      <c r="BD18" s="70"/>
      <c r="BE18" s="70"/>
      <c r="BF18" s="70"/>
      <c r="BG18" s="70"/>
      <c r="BH18" s="70"/>
      <c r="BI18" s="70"/>
      <c r="BJ18" s="70"/>
      <c r="BK18" s="70"/>
      <c r="BL18" s="70"/>
      <c r="BM18" s="70"/>
    </row>
    <row r="19" spans="1:65" s="44" customFormat="1" ht="18">
      <c r="A19" s="70" t="s">
        <v>27</v>
      </c>
      <c r="B19" s="76"/>
      <c r="D19" s="71"/>
      <c r="E19" s="72">
        <f>F18+1</f>
        <v>46072</v>
      </c>
      <c r="F19" s="73">
        <f>E19+G19-1</f>
        <v>46071</v>
      </c>
      <c r="G19" s="74">
        <v>0</v>
      </c>
      <c r="H19" s="75"/>
      <c r="I19" s="109"/>
      <c r="J19" s="70"/>
      <c r="K19" s="70"/>
      <c r="L19" s="70"/>
      <c r="M19" s="70"/>
      <c r="N19" s="70"/>
      <c r="O19" s="70"/>
      <c r="P19" s="70"/>
      <c r="Q19" s="70"/>
      <c r="R19" s="70"/>
      <c r="S19" s="70"/>
      <c r="T19" s="70"/>
      <c r="U19" s="70"/>
      <c r="V19" s="70"/>
      <c r="W19" s="70"/>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0"/>
      <c r="AV19" s="70"/>
      <c r="AW19" s="70"/>
      <c r="AX19" s="70"/>
      <c r="AY19" s="70"/>
      <c r="AZ19" s="70"/>
      <c r="BA19" s="70"/>
      <c r="BB19" s="70"/>
      <c r="BC19" s="70"/>
      <c r="BD19" s="70"/>
      <c r="BE19" s="70"/>
      <c r="BF19" s="70"/>
      <c r="BG19" s="70"/>
      <c r="BH19" s="70"/>
      <c r="BI19" s="70"/>
      <c r="BJ19" s="70"/>
      <c r="BK19" s="70"/>
      <c r="BL19" s="70"/>
      <c r="BM19" s="70"/>
    </row>
    <row r="20" spans="1:65" s="43" customFormat="1" ht="18">
      <c r="A20" s="91" t="s">
        <v>28</v>
      </c>
      <c r="B20" s="98" t="s">
        <v>29</v>
      </c>
      <c r="D20" s="93"/>
      <c r="E20" s="94">
        <f>MIN(E21:E22)</f>
        <v>46082</v>
      </c>
      <c r="F20" s="95">
        <f>MAX(F21:F22)</f>
        <v>46112</v>
      </c>
      <c r="G20" s="96"/>
      <c r="H20" s="97"/>
      <c r="I20" s="113"/>
      <c r="J20" s="114"/>
      <c r="K20" s="114"/>
      <c r="L20" s="114"/>
      <c r="M20" s="114"/>
      <c r="N20" s="114"/>
      <c r="O20" s="114"/>
      <c r="P20" s="114"/>
      <c r="Q20" s="114"/>
      <c r="R20" s="114"/>
      <c r="S20" s="114"/>
      <c r="T20" s="114"/>
      <c r="U20" s="114"/>
      <c r="V20" s="114"/>
      <c r="W20" s="114"/>
      <c r="X20" s="114"/>
      <c r="Y20" s="114"/>
      <c r="Z20" s="114"/>
      <c r="AA20" s="114"/>
      <c r="AB20" s="114"/>
      <c r="AC20" s="114"/>
      <c r="AD20" s="114"/>
      <c r="AE20" s="114"/>
      <c r="AF20" s="114"/>
      <c r="AG20" s="114"/>
      <c r="AH20" s="114"/>
      <c r="AI20" s="114"/>
      <c r="AJ20" s="114"/>
      <c r="AK20" s="114"/>
      <c r="AL20" s="114"/>
      <c r="AM20" s="114"/>
      <c r="AN20" s="114"/>
      <c r="AO20" s="114"/>
      <c r="AP20" s="114"/>
      <c r="AQ20" s="114"/>
      <c r="AR20" s="114"/>
      <c r="AS20" s="114"/>
      <c r="AT20" s="114"/>
      <c r="AU20" s="114"/>
      <c r="AV20" s="114"/>
      <c r="AW20" s="114"/>
      <c r="AX20" s="114"/>
      <c r="AY20" s="114"/>
      <c r="AZ20" s="114"/>
      <c r="BA20" s="114"/>
      <c r="BB20" s="114"/>
      <c r="BC20" s="114"/>
      <c r="BD20" s="114"/>
      <c r="BE20" s="114"/>
      <c r="BF20" s="114"/>
      <c r="BG20" s="114"/>
      <c r="BH20" s="114"/>
      <c r="BI20" s="114"/>
      <c r="BJ20" s="114"/>
      <c r="BK20" s="114"/>
      <c r="BL20" s="114"/>
      <c r="BM20" s="114"/>
    </row>
    <row r="21" spans="1:65" s="44" customFormat="1" ht="18">
      <c r="A21" s="70" t="s">
        <v>30</v>
      </c>
      <c r="B21" s="76"/>
      <c r="D21" s="71"/>
      <c r="E21" s="72">
        <v>46082</v>
      </c>
      <c r="F21" s="73">
        <f>E21+G21-1</f>
        <v>46112</v>
      </c>
      <c r="G21" s="74">
        <v>31</v>
      </c>
      <c r="H21" s="75"/>
      <c r="I21" s="109"/>
      <c r="J21" s="70"/>
      <c r="K21" s="70"/>
      <c r="L21" s="70"/>
      <c r="M21" s="70"/>
      <c r="N21" s="70"/>
      <c r="O21" s="70"/>
      <c r="P21" s="70"/>
      <c r="Q21" s="70"/>
      <c r="R21" s="70"/>
      <c r="S21" s="70"/>
      <c r="T21" s="70"/>
      <c r="U21" s="70"/>
      <c r="V21" s="70"/>
      <c r="W21" s="70"/>
      <c r="X21" s="70"/>
      <c r="Y21" s="70"/>
      <c r="Z21" s="70"/>
      <c r="AA21" s="70"/>
      <c r="AB21" s="70"/>
      <c r="AC21" s="70"/>
      <c r="AD21" s="70"/>
      <c r="AE21" s="70"/>
      <c r="AF21" s="70"/>
      <c r="AG21" s="70"/>
      <c r="AH21" s="70"/>
      <c r="AI21" s="70"/>
      <c r="AJ21" s="70"/>
      <c r="AK21" s="70"/>
      <c r="AL21" s="70"/>
      <c r="AM21" s="70"/>
      <c r="AN21" s="70"/>
      <c r="AO21" s="70"/>
      <c r="AP21" s="70"/>
      <c r="AQ21" s="70"/>
      <c r="AR21" s="70"/>
      <c r="AS21" s="70"/>
      <c r="AT21" s="70"/>
      <c r="AU21" s="70"/>
      <c r="AV21" s="70"/>
      <c r="AW21" s="70"/>
      <c r="AX21" s="70"/>
      <c r="AY21" s="70"/>
      <c r="AZ21" s="70"/>
      <c r="BA21" s="70"/>
      <c r="BB21" s="70"/>
      <c r="BC21" s="70"/>
      <c r="BD21" s="70"/>
      <c r="BE21" s="70"/>
      <c r="BF21" s="70"/>
      <c r="BG21" s="70"/>
      <c r="BH21" s="70"/>
      <c r="BI21" s="70"/>
      <c r="BJ21" s="70"/>
      <c r="BK21" s="70"/>
      <c r="BL21" s="70"/>
      <c r="BM21" s="70"/>
    </row>
    <row r="22" spans="1:65" s="44" customFormat="1" ht="18">
      <c r="A22" s="70" t="s">
        <v>31</v>
      </c>
      <c r="B22" s="76"/>
      <c r="D22" s="71"/>
      <c r="E22" s="72">
        <f>F21+1</f>
        <v>46113</v>
      </c>
      <c r="F22" s="73">
        <f>E22+G22-1</f>
        <v>46112</v>
      </c>
      <c r="G22" s="74">
        <v>0</v>
      </c>
      <c r="H22" s="75"/>
      <c r="I22" s="109"/>
      <c r="J22" s="70"/>
      <c r="K22" s="70"/>
      <c r="L22" s="70"/>
      <c r="M22" s="70"/>
      <c r="N22" s="70"/>
      <c r="O22" s="70"/>
      <c r="P22" s="70"/>
      <c r="Q22" s="70"/>
      <c r="R22" s="70"/>
      <c r="S22" s="70"/>
      <c r="T22" s="70"/>
      <c r="U22" s="70"/>
      <c r="V22" s="70"/>
      <c r="W22" s="70"/>
      <c r="X22" s="70"/>
      <c r="Y22" s="70"/>
      <c r="Z22" s="70"/>
      <c r="AA22" s="70"/>
      <c r="AB22" s="70"/>
      <c r="AC22" s="70"/>
      <c r="AD22" s="70"/>
      <c r="AE22" s="70"/>
      <c r="AF22" s="70"/>
      <c r="AG22" s="70"/>
      <c r="AH22" s="70"/>
      <c r="AI22" s="70"/>
      <c r="AJ22" s="70"/>
      <c r="AK22" s="70"/>
      <c r="AL22" s="70"/>
      <c r="AM22" s="70"/>
      <c r="AN22" s="70"/>
      <c r="AO22" s="70"/>
      <c r="AP22" s="70"/>
      <c r="AQ22" s="70"/>
      <c r="AR22" s="70"/>
      <c r="AS22" s="70"/>
      <c r="AT22" s="70"/>
      <c r="AU22" s="70"/>
      <c r="AV22" s="70"/>
      <c r="AW22" s="70"/>
      <c r="AX22" s="70"/>
      <c r="AY22" s="70"/>
      <c r="AZ22" s="70"/>
      <c r="BA22" s="70"/>
      <c r="BB22" s="70"/>
      <c r="BC22" s="70"/>
      <c r="BD22" s="70"/>
      <c r="BE22" s="70"/>
      <c r="BF22" s="70"/>
      <c r="BG22" s="70"/>
      <c r="BH22" s="70"/>
      <c r="BI22" s="70"/>
      <c r="BJ22" s="70"/>
      <c r="BK22" s="70"/>
      <c r="BL22" s="70"/>
      <c r="BM22" s="70"/>
    </row>
    <row r="23" spans="1:65" s="43" customFormat="1" ht="18">
      <c r="A23" s="91" t="s">
        <v>32</v>
      </c>
      <c r="B23" s="98" t="s">
        <v>33</v>
      </c>
      <c r="D23" s="93"/>
      <c r="E23" s="94">
        <f>MIN(E24:E25)</f>
        <v>46113</v>
      </c>
      <c r="F23" s="95">
        <f>MAX(F24:F25)</f>
        <v>46142</v>
      </c>
      <c r="G23" s="96"/>
      <c r="H23" s="97"/>
      <c r="I23" s="113"/>
      <c r="J23" s="114"/>
      <c r="K23" s="114"/>
      <c r="L23" s="114"/>
      <c r="M23" s="114"/>
      <c r="N23" s="114"/>
      <c r="O23" s="114"/>
      <c r="P23" s="114"/>
      <c r="Q23" s="114"/>
      <c r="R23" s="114"/>
      <c r="S23" s="114"/>
      <c r="T23" s="114"/>
      <c r="U23" s="114"/>
      <c r="V23" s="114"/>
      <c r="W23" s="114"/>
      <c r="X23" s="114"/>
      <c r="Y23" s="114"/>
      <c r="Z23" s="114"/>
      <c r="AA23" s="114"/>
      <c r="AB23" s="114"/>
      <c r="AC23" s="114"/>
      <c r="AD23" s="114"/>
      <c r="AE23" s="114"/>
      <c r="AF23" s="114"/>
      <c r="AG23" s="114"/>
      <c r="AH23" s="114"/>
      <c r="AI23" s="114"/>
      <c r="AJ23" s="114"/>
      <c r="AK23" s="114"/>
      <c r="AL23" s="114"/>
      <c r="AM23" s="114"/>
      <c r="AN23" s="114"/>
      <c r="AO23" s="114"/>
      <c r="AP23" s="114"/>
      <c r="AQ23" s="114"/>
      <c r="AR23" s="114"/>
      <c r="AS23" s="114"/>
      <c r="AT23" s="114"/>
      <c r="AU23" s="114"/>
      <c r="AV23" s="114"/>
      <c r="AW23" s="114"/>
      <c r="AX23" s="114"/>
      <c r="AY23" s="114"/>
      <c r="AZ23" s="114"/>
      <c r="BA23" s="114"/>
      <c r="BB23" s="114"/>
      <c r="BC23" s="114"/>
      <c r="BD23" s="114"/>
      <c r="BE23" s="114"/>
      <c r="BF23" s="114"/>
      <c r="BG23" s="114"/>
      <c r="BH23" s="114"/>
      <c r="BI23" s="114"/>
      <c r="BJ23" s="114"/>
      <c r="BK23" s="114"/>
      <c r="BL23" s="114"/>
      <c r="BM23" s="114"/>
    </row>
    <row r="24" spans="1:65" s="44" customFormat="1" ht="18">
      <c r="A24" s="70" t="s">
        <v>34</v>
      </c>
      <c r="B24" s="76"/>
      <c r="D24" s="71"/>
      <c r="E24" s="72">
        <v>46113</v>
      </c>
      <c r="F24" s="73">
        <f>E24+G24-1</f>
        <v>46142</v>
      </c>
      <c r="G24" s="74">
        <v>30</v>
      </c>
      <c r="H24" s="75"/>
      <c r="I24" s="109"/>
      <c r="J24" s="70"/>
      <c r="K24" s="70"/>
      <c r="L24" s="70"/>
      <c r="M24" s="70"/>
      <c r="N24" s="70"/>
      <c r="O24" s="70"/>
      <c r="P24" s="70"/>
      <c r="Q24" s="70"/>
      <c r="R24" s="70"/>
      <c r="S24" s="70"/>
      <c r="T24" s="70"/>
      <c r="U24" s="70"/>
      <c r="V24" s="70"/>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0"/>
      <c r="AV24" s="70"/>
      <c r="AW24" s="70"/>
      <c r="AX24" s="70"/>
      <c r="AY24" s="70"/>
      <c r="AZ24" s="70"/>
      <c r="BA24" s="70"/>
      <c r="BB24" s="70"/>
      <c r="BC24" s="70"/>
      <c r="BD24" s="70"/>
      <c r="BE24" s="70"/>
      <c r="BF24" s="70"/>
      <c r="BG24" s="70"/>
      <c r="BH24" s="70"/>
      <c r="BI24" s="70"/>
      <c r="BJ24" s="70"/>
      <c r="BK24" s="70"/>
      <c r="BL24" s="70"/>
      <c r="BM24" s="70"/>
    </row>
    <row r="25" spans="1:65" s="44" customFormat="1" ht="18">
      <c r="A25" s="70" t="s">
        <v>35</v>
      </c>
      <c r="B25" s="76"/>
      <c r="D25" s="71"/>
      <c r="E25" s="72">
        <f>F24+1</f>
        <v>46143</v>
      </c>
      <c r="F25" s="73">
        <f>E25+G25-1</f>
        <v>46142</v>
      </c>
      <c r="G25" s="74">
        <v>0</v>
      </c>
      <c r="H25" s="75"/>
      <c r="I25" s="109"/>
      <c r="J25" s="70"/>
      <c r="K25" s="70"/>
      <c r="L25" s="70"/>
      <c r="M25" s="70"/>
      <c r="N25" s="70"/>
      <c r="O25" s="70"/>
      <c r="P25" s="70"/>
      <c r="Q25" s="70"/>
      <c r="R25" s="70"/>
      <c r="S25" s="70"/>
      <c r="T25" s="70"/>
      <c r="U25" s="70"/>
      <c r="V25" s="70"/>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0"/>
      <c r="AV25" s="70"/>
      <c r="AW25" s="70"/>
      <c r="AX25" s="70"/>
      <c r="AY25" s="70"/>
      <c r="AZ25" s="70"/>
      <c r="BA25" s="70"/>
      <c r="BB25" s="70"/>
      <c r="BC25" s="70"/>
      <c r="BD25" s="70"/>
      <c r="BE25" s="70"/>
      <c r="BF25" s="70"/>
      <c r="BG25" s="70"/>
      <c r="BH25" s="70"/>
      <c r="BI25" s="70"/>
      <c r="BJ25" s="70"/>
      <c r="BK25" s="70"/>
      <c r="BL25" s="70"/>
      <c r="BM25" s="70"/>
    </row>
    <row r="26" spans="1:65" s="44" customFormat="1" ht="18">
      <c r="A26" s="70"/>
      <c r="B26" s="76"/>
      <c r="D26" s="71"/>
      <c r="E26" s="72"/>
      <c r="F26" s="73"/>
      <c r="G26" s="74"/>
      <c r="H26" s="75"/>
      <c r="I26" s="109"/>
      <c r="J26" s="70"/>
      <c r="K26" s="70"/>
      <c r="L26" s="70"/>
      <c r="M26" s="70"/>
      <c r="N26" s="70"/>
      <c r="O26" s="70"/>
      <c r="P26" s="70"/>
      <c r="Q26" s="70"/>
      <c r="R26" s="70"/>
      <c r="S26" s="70"/>
      <c r="T26" s="70"/>
      <c r="U26" s="70"/>
      <c r="V26" s="70"/>
      <c r="W26" s="70"/>
      <c r="X26" s="70"/>
      <c r="Y26" s="70"/>
      <c r="Z26" s="70"/>
      <c r="AA26" s="70"/>
      <c r="AB26" s="70"/>
      <c r="AC26" s="70"/>
      <c r="AD26" s="70"/>
      <c r="AE26" s="70"/>
      <c r="AF26" s="70"/>
      <c r="AG26" s="70"/>
      <c r="AH26" s="70"/>
      <c r="AI26" s="70"/>
      <c r="AJ26" s="70"/>
      <c r="AK26" s="70"/>
      <c r="AL26" s="70"/>
      <c r="AM26" s="70"/>
      <c r="AN26" s="70"/>
      <c r="AO26" s="70"/>
      <c r="AP26" s="70"/>
      <c r="AQ26" s="70"/>
      <c r="AR26" s="70"/>
      <c r="AS26" s="70"/>
      <c r="AT26" s="70"/>
      <c r="AU26" s="70"/>
      <c r="AV26" s="70"/>
      <c r="AW26" s="70"/>
      <c r="AX26" s="70"/>
      <c r="AY26" s="70"/>
      <c r="AZ26" s="70"/>
      <c r="BA26" s="70"/>
      <c r="BB26" s="70"/>
      <c r="BC26" s="70"/>
      <c r="BD26" s="70"/>
      <c r="BE26" s="70"/>
      <c r="BF26" s="70"/>
      <c r="BG26" s="70"/>
      <c r="BH26" s="70"/>
      <c r="BI26" s="70"/>
      <c r="BJ26" s="70"/>
      <c r="BK26" s="70"/>
      <c r="BL26" s="70"/>
      <c r="BM26" s="70"/>
    </row>
    <row r="27" spans="1:65" s="44" customFormat="1" ht="18">
      <c r="A27" s="70"/>
      <c r="B27" s="76"/>
      <c r="D27" s="71"/>
      <c r="E27" s="72"/>
      <c r="F27" s="73"/>
      <c r="G27" s="74"/>
      <c r="H27" s="75"/>
      <c r="I27" s="109"/>
      <c r="J27" s="70"/>
      <c r="K27" s="70"/>
      <c r="L27" s="70"/>
      <c r="M27" s="70"/>
      <c r="N27" s="70"/>
      <c r="O27" s="70"/>
      <c r="P27" s="70"/>
      <c r="Q27" s="70"/>
      <c r="R27" s="70"/>
      <c r="S27" s="70"/>
      <c r="T27" s="70"/>
      <c r="U27" s="70"/>
      <c r="V27" s="70"/>
      <c r="W27" s="70"/>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0"/>
      <c r="AV27" s="70"/>
      <c r="AW27" s="70"/>
      <c r="AX27" s="70"/>
      <c r="AY27" s="70"/>
      <c r="AZ27" s="70"/>
      <c r="BA27" s="70"/>
      <c r="BB27" s="70"/>
      <c r="BC27" s="70"/>
      <c r="BD27" s="70"/>
      <c r="BE27" s="70"/>
      <c r="BF27" s="70"/>
      <c r="BG27" s="70"/>
      <c r="BH27" s="70"/>
      <c r="BI27" s="70"/>
      <c r="BJ27" s="70"/>
      <c r="BK27" s="70"/>
      <c r="BL27" s="70"/>
      <c r="BM27" s="70"/>
    </row>
    <row r="28" spans="1:65" s="47" customFormat="1">
      <c r="A28" s="99" t="str">
        <f>HYPERLINK("https://vertex42.link/HowToCreateAGanttChart","► Watch How to Create a Gantt Chart in Excel")</f>
        <v>► Watch How to Create a Gantt Chart in Excel</v>
      </c>
    </row>
  </sheetData>
  <sheetProtection formatCells="0" formatColumns="0" formatRows="0" insertRows="0" deleteRows="0"/>
  <mergeCells count="19">
    <mergeCell ref="AL5:AR5"/>
    <mergeCell ref="AS5:AY5"/>
    <mergeCell ref="AZ5:BF5"/>
    <mergeCell ref="BG5:BM5"/>
    <mergeCell ref="C5:E5"/>
    <mergeCell ref="J5:P5"/>
    <mergeCell ref="Q5:W5"/>
    <mergeCell ref="X5:AD5"/>
    <mergeCell ref="AE5:AK5"/>
    <mergeCell ref="AE4:AK4"/>
    <mergeCell ref="AL4:AR4"/>
    <mergeCell ref="AS4:AY4"/>
    <mergeCell ref="AZ4:BF4"/>
    <mergeCell ref="BG4:BM4"/>
    <mergeCell ref="J1:AD1"/>
    <mergeCell ref="C4:E4"/>
    <mergeCell ref="J4:P4"/>
    <mergeCell ref="Q4:W4"/>
    <mergeCell ref="X4:AD4"/>
  </mergeCells>
  <conditionalFormatting sqref="H8:H27">
    <cfRule type="dataBar" priority="10">
      <dataBar>
        <cfvo type="num" val="0"/>
        <cfvo type="num" val="1"/>
        <color theme="0" tint="-0.34998626667073579"/>
      </dataBar>
      <extLst>
        <ext xmlns:x14="http://schemas.microsoft.com/office/spreadsheetml/2009/9/main" uri="{B025F937-C7B1-47D3-B67F-A62EFF666E3E}">
          <x14:id>{D7CB992A-3FED-49FC-871A-4DB188F9B32A}</x14:id>
        </ext>
      </extLst>
    </cfRule>
  </conditionalFormatting>
  <conditionalFormatting sqref="J6:BM7">
    <cfRule type="expression" dxfId="3" priority="53">
      <formula>J$6=TODAY()</formula>
    </cfRule>
  </conditionalFormatting>
  <conditionalFormatting sqref="J6:BM27">
    <cfRule type="expression" dxfId="2" priority="16">
      <formula>J$6=TODAY()</formula>
    </cfRule>
  </conditionalFormatting>
  <conditionalFormatting sqref="J8:BM27">
    <cfRule type="expression" dxfId="1" priority="56">
      <formula>AND($E8&lt;=J$6,ROUNDDOWN(($F8-$E8+1)*$H8,0)+$E8-1&gt;=J$6)</formula>
    </cfRule>
    <cfRule type="expression" dxfId="0" priority="57">
      <formula>AND(NOT(ISBLANK($E8)),$E8&lt;=J$6,$F8&gt;=J$6)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63" orientation="landscape"/>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8238" r:id="rId3" name="Scroll Bar 46">
              <controlPr defaultSize="0" print="0" autoPict="0">
                <anchor moveWithCells="1">
                  <from>
                    <xdr:col>8</xdr:col>
                    <xdr:colOff>104775</xdr:colOff>
                    <xdr:row>1</xdr:row>
                    <xdr:rowOff>123825</xdr:rowOff>
                  </from>
                  <to>
                    <xdr:col>26</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D7CB992A-3FED-49FC-871A-4DB188F9B32A}">
            <x14:dataBar minLength="0" maxLength="100" gradient="0">
              <x14:cfvo type="num">
                <xm:f>0</xm:f>
              </x14:cfvo>
              <x14:cfvo type="num">
                <xm:f>1</xm:f>
              </x14:cfvo>
              <x14:negativeFillColor rgb="FFFF0000"/>
              <x14:axisColor rgb="FF000000"/>
            </x14:dataBar>
          </x14:cfRule>
          <xm:sqref>H8:H27</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C94"/>
  <sheetViews>
    <sheetView showGridLines="0" workbookViewId="0"/>
  </sheetViews>
  <sheetFormatPr defaultColWidth="8.85546875" defaultRowHeight="12.75"/>
  <cols>
    <col min="1" max="1" width="5.42578125" style="1" customWidth="1"/>
    <col min="2" max="2" width="90.42578125" style="1" customWidth="1"/>
    <col min="3" max="3" width="16.42578125" style="1" customWidth="1"/>
    <col min="4" max="16384" width="8.85546875" style="1"/>
  </cols>
  <sheetData>
    <row r="1" spans="1:3" ht="30" customHeight="1">
      <c r="A1" s="2" t="s">
        <v>37</v>
      </c>
      <c r="B1" s="15"/>
    </row>
    <row r="2" spans="1:3" ht="14.25">
      <c r="A2" s="16" t="s">
        <v>36</v>
      </c>
      <c r="B2" s="17"/>
    </row>
    <row r="3" spans="1:3">
      <c r="B3" s="17"/>
    </row>
    <row r="4" spans="1:3" ht="18">
      <c r="A4" s="18" t="s">
        <v>38</v>
      </c>
      <c r="B4" s="19"/>
    </row>
    <row r="5" spans="1:3" ht="57">
      <c r="B5" s="20" t="s">
        <v>39</v>
      </c>
    </row>
    <row r="7" spans="1:3" ht="28.5">
      <c r="B7" s="20" t="s">
        <v>40</v>
      </c>
    </row>
    <row r="9" spans="1:3" ht="14.25">
      <c r="B9" s="16" t="s">
        <v>41</v>
      </c>
    </row>
    <row r="11" spans="1:3" ht="28.5">
      <c r="B11" s="21" t="s">
        <v>42</v>
      </c>
    </row>
    <row r="13" spans="1:3" ht="18">
      <c r="A13" s="126" t="s">
        <v>43</v>
      </c>
      <c r="B13" s="126"/>
    </row>
    <row r="15" spans="1:3" s="14" customFormat="1" ht="18">
      <c r="A15" s="22"/>
      <c r="B15" s="23" t="s">
        <v>44</v>
      </c>
    </row>
    <row r="16" spans="1:3" s="14" customFormat="1" ht="18">
      <c r="A16" s="22"/>
      <c r="B16" s="23" t="s">
        <v>45</v>
      </c>
      <c r="C16" s="24" t="s">
        <v>46</v>
      </c>
    </row>
    <row r="17" spans="1:3" ht="18">
      <c r="A17" s="25"/>
      <c r="B17" s="23" t="s">
        <v>47</v>
      </c>
    </row>
    <row r="18" spans="1:3" ht="18">
      <c r="A18" s="25"/>
      <c r="B18" s="23" t="s">
        <v>48</v>
      </c>
    </row>
    <row r="19" spans="1:3" ht="18">
      <c r="A19" s="25"/>
      <c r="B19" s="23" t="s">
        <v>49</v>
      </c>
    </row>
    <row r="20" spans="1:3" s="14" customFormat="1" ht="18">
      <c r="A20" s="22"/>
      <c r="B20" s="23" t="s">
        <v>50</v>
      </c>
      <c r="C20" s="26" t="s">
        <v>51</v>
      </c>
    </row>
    <row r="21" spans="1:3" ht="18">
      <c r="A21" s="25"/>
      <c r="B21" s="23" t="s">
        <v>52</v>
      </c>
    </row>
    <row r="22" spans="1:3" ht="18">
      <c r="A22" s="25"/>
      <c r="B22" s="27" t="s">
        <v>53</v>
      </c>
    </row>
    <row r="23" spans="1:3" ht="18">
      <c r="A23" s="25"/>
      <c r="B23" s="28"/>
    </row>
    <row r="24" spans="1:3" ht="18">
      <c r="A24" s="126" t="s">
        <v>54</v>
      </c>
      <c r="B24" s="126"/>
    </row>
    <row r="25" spans="1:3" ht="43.5">
      <c r="A25" s="25"/>
      <c r="B25" s="23" t="s">
        <v>55</v>
      </c>
    </row>
    <row r="26" spans="1:3" ht="18">
      <c r="A26" s="25"/>
      <c r="B26" s="23"/>
    </row>
    <row r="27" spans="1:3" ht="18">
      <c r="A27" s="25"/>
      <c r="B27" s="29" t="s">
        <v>56</v>
      </c>
    </row>
    <row r="28" spans="1:3" ht="18">
      <c r="A28" s="25"/>
      <c r="B28" s="23" t="s">
        <v>57</v>
      </c>
    </row>
    <row r="29" spans="1:3" ht="28.5">
      <c r="A29" s="25"/>
      <c r="B29" s="23" t="s">
        <v>58</v>
      </c>
    </row>
    <row r="30" spans="1:3" ht="18">
      <c r="A30" s="25"/>
      <c r="B30" s="23"/>
    </row>
    <row r="31" spans="1:3" ht="18">
      <c r="A31" s="25"/>
      <c r="B31" s="29" t="s">
        <v>59</v>
      </c>
    </row>
    <row r="32" spans="1:3" ht="18">
      <c r="A32" s="25"/>
      <c r="B32" s="23" t="s">
        <v>60</v>
      </c>
    </row>
    <row r="33" spans="1:2" ht="18">
      <c r="A33" s="25"/>
      <c r="B33" s="23" t="s">
        <v>61</v>
      </c>
    </row>
    <row r="34" spans="1:2" ht="18">
      <c r="A34" s="25"/>
      <c r="B34" s="28"/>
    </row>
    <row r="35" spans="1:2" ht="28.5">
      <c r="A35" s="25"/>
      <c r="B35" s="23" t="s">
        <v>62</v>
      </c>
    </row>
    <row r="36" spans="1:2" ht="18">
      <c r="A36" s="25"/>
      <c r="B36" s="30" t="s">
        <v>63</v>
      </c>
    </row>
    <row r="37" spans="1:2" ht="18">
      <c r="A37" s="25"/>
      <c r="B37" s="28"/>
    </row>
    <row r="38" spans="1:2" ht="18">
      <c r="A38" s="126" t="s">
        <v>64</v>
      </c>
      <c r="B38" s="126"/>
    </row>
    <row r="39" spans="1:2" ht="28.5">
      <c r="B39" s="23" t="s">
        <v>65</v>
      </c>
    </row>
    <row r="41" spans="1:2" ht="14.25">
      <c r="B41" s="23" t="s">
        <v>66</v>
      </c>
    </row>
    <row r="43" spans="1:2" ht="28.5">
      <c r="B43" s="23" t="s">
        <v>67</v>
      </c>
    </row>
    <row r="45" spans="1:2" ht="28.5">
      <c r="B45" s="23" t="s">
        <v>68</v>
      </c>
    </row>
    <row r="46" spans="1:2">
      <c r="B46" s="31"/>
    </row>
    <row r="47" spans="1:2" ht="28.5">
      <c r="B47" s="23" t="s">
        <v>69</v>
      </c>
    </row>
    <row r="49" spans="1:2" ht="18">
      <c r="A49" s="126" t="s">
        <v>70</v>
      </c>
      <c r="B49" s="126"/>
    </row>
    <row r="50" spans="1:2" ht="28.5">
      <c r="B50" s="23" t="s">
        <v>71</v>
      </c>
    </row>
    <row r="52" spans="1:2" ht="14.25">
      <c r="A52" s="32" t="s">
        <v>72</v>
      </c>
      <c r="B52" s="23" t="s">
        <v>73</v>
      </c>
    </row>
    <row r="53" spans="1:2" ht="14.25">
      <c r="A53" s="32" t="s">
        <v>74</v>
      </c>
      <c r="B53" s="23" t="s">
        <v>75</v>
      </c>
    </row>
    <row r="54" spans="1:2" ht="14.25">
      <c r="A54" s="32" t="s">
        <v>76</v>
      </c>
      <c r="B54" s="23" t="s">
        <v>77</v>
      </c>
    </row>
    <row r="55" spans="1:2" ht="28.5">
      <c r="A55" s="21"/>
      <c r="B55" s="23" t="s">
        <v>78</v>
      </c>
    </row>
    <row r="56" spans="1:2" ht="28.5">
      <c r="A56" s="21"/>
      <c r="B56" s="23" t="s">
        <v>79</v>
      </c>
    </row>
    <row r="57" spans="1:2" ht="14.25">
      <c r="A57" s="32" t="s">
        <v>80</v>
      </c>
      <c r="B57" s="23" t="s">
        <v>81</v>
      </c>
    </row>
    <row r="58" spans="1:2" ht="14.25">
      <c r="A58" s="21"/>
      <c r="B58" s="23" t="s">
        <v>82</v>
      </c>
    </row>
    <row r="59" spans="1:2" ht="14.25">
      <c r="A59" s="21"/>
      <c r="B59" s="23" t="s">
        <v>83</v>
      </c>
    </row>
    <row r="60" spans="1:2" ht="14.25">
      <c r="A60" s="32" t="s">
        <v>84</v>
      </c>
      <c r="B60" s="23" t="s">
        <v>85</v>
      </c>
    </row>
    <row r="61" spans="1:2" ht="28.5">
      <c r="A61" s="21"/>
      <c r="B61" s="23" t="s">
        <v>86</v>
      </c>
    </row>
    <row r="62" spans="1:2" ht="14.25">
      <c r="A62" s="32" t="s">
        <v>87</v>
      </c>
      <c r="B62" s="23" t="s">
        <v>88</v>
      </c>
    </row>
    <row r="63" spans="1:2" ht="14.25">
      <c r="A63" s="33"/>
      <c r="B63" s="23" t="s">
        <v>89</v>
      </c>
    </row>
    <row r="64" spans="1:2">
      <c r="B64" s="34"/>
    </row>
    <row r="65" spans="1:2" ht="18">
      <c r="A65" s="126" t="s">
        <v>90</v>
      </c>
      <c r="B65" s="126"/>
    </row>
    <row r="66" spans="1:2" ht="42.75">
      <c r="B66" s="23" t="s">
        <v>91</v>
      </c>
    </row>
    <row r="68" spans="1:2" ht="18">
      <c r="A68" s="126" t="s">
        <v>92</v>
      </c>
      <c r="B68" s="126"/>
    </row>
    <row r="69" spans="1:2" ht="15">
      <c r="A69" s="35" t="s">
        <v>93</v>
      </c>
      <c r="B69" s="36" t="s">
        <v>94</v>
      </c>
    </row>
    <row r="70" spans="1:2" ht="28.5">
      <c r="A70" s="33"/>
      <c r="B70" s="37" t="s">
        <v>95</v>
      </c>
    </row>
    <row r="71" spans="1:2" ht="14.25">
      <c r="A71" s="33"/>
      <c r="B71" s="38"/>
    </row>
    <row r="72" spans="1:2" ht="15">
      <c r="A72" s="35" t="s">
        <v>93</v>
      </c>
      <c r="B72" s="36" t="s">
        <v>96</v>
      </c>
    </row>
    <row r="73" spans="1:2" ht="28.5">
      <c r="A73" s="33"/>
      <c r="B73" s="37" t="s">
        <v>97</v>
      </c>
    </row>
    <row r="74" spans="1:2" ht="14.25">
      <c r="A74" s="33"/>
      <c r="B74" s="38"/>
    </row>
    <row r="75" spans="1:2" ht="15">
      <c r="A75" s="35" t="s">
        <v>93</v>
      </c>
      <c r="B75" s="39" t="s">
        <v>98</v>
      </c>
    </row>
    <row r="76" spans="1:2" ht="42.75">
      <c r="A76" s="33"/>
      <c r="B76" s="20" t="s">
        <v>99</v>
      </c>
    </row>
    <row r="77" spans="1:2" ht="14.25">
      <c r="A77" s="33"/>
      <c r="B77" s="33"/>
    </row>
    <row r="78" spans="1:2" ht="15">
      <c r="A78" s="35" t="s">
        <v>93</v>
      </c>
      <c r="B78" s="39" t="s">
        <v>100</v>
      </c>
    </row>
    <row r="79" spans="1:2" ht="28.5">
      <c r="A79" s="33"/>
      <c r="B79" s="20" t="s">
        <v>101</v>
      </c>
    </row>
    <row r="80" spans="1:2" ht="14.25">
      <c r="A80" s="33"/>
      <c r="B80" s="33"/>
    </row>
    <row r="81" spans="1:2" ht="15">
      <c r="A81" s="35" t="s">
        <v>93</v>
      </c>
      <c r="B81" s="39" t="s">
        <v>102</v>
      </c>
    </row>
    <row r="82" spans="1:2" ht="14.25">
      <c r="A82" s="33"/>
      <c r="B82" s="40" t="s">
        <v>103</v>
      </c>
    </row>
    <row r="83" spans="1:2" ht="14.25">
      <c r="A83" s="33"/>
      <c r="B83" s="40" t="s">
        <v>104</v>
      </c>
    </row>
    <row r="84" spans="1:2" ht="14.25">
      <c r="A84" s="33"/>
      <c r="B84" s="40" t="s">
        <v>105</v>
      </c>
    </row>
    <row r="85" spans="1:2" ht="15">
      <c r="A85" s="33"/>
      <c r="B85" s="41"/>
    </row>
    <row r="86" spans="1:2" ht="15">
      <c r="A86" s="35" t="s">
        <v>93</v>
      </c>
      <c r="B86" s="39" t="s">
        <v>106</v>
      </c>
    </row>
    <row r="87" spans="1:2" ht="42.75">
      <c r="A87" s="33"/>
      <c r="B87" s="20" t="s">
        <v>107</v>
      </c>
    </row>
    <row r="88" spans="1:2" ht="14.25">
      <c r="A88" s="33"/>
      <c r="B88" s="115" t="s">
        <v>108</v>
      </c>
    </row>
    <row r="89" spans="1:2" ht="57">
      <c r="A89" s="33"/>
      <c r="B89" s="116" t="s">
        <v>109</v>
      </c>
    </row>
    <row r="90" spans="1:2" ht="14.25">
      <c r="A90" s="33"/>
      <c r="B90" s="33"/>
    </row>
    <row r="91" spans="1:2" ht="15">
      <c r="A91" s="35" t="s">
        <v>93</v>
      </c>
      <c r="B91" s="39" t="s">
        <v>110</v>
      </c>
    </row>
    <row r="92" spans="1:2" ht="28.5">
      <c r="A92" s="21"/>
      <c r="B92" s="40" t="s">
        <v>111</v>
      </c>
    </row>
    <row r="94" spans="1:2">
      <c r="A94" s="42" t="s">
        <v>112</v>
      </c>
    </row>
  </sheetData>
  <mergeCells count="6">
    <mergeCell ref="A68:B68"/>
    <mergeCell ref="A13:B13"/>
    <mergeCell ref="A24:B24"/>
    <mergeCell ref="A38:B38"/>
    <mergeCell ref="A49:B49"/>
    <mergeCell ref="A65:B65"/>
  </mergeCells>
  <hyperlinks>
    <hyperlink ref="B9" r:id="rId1" xr:uid="{00000000-0004-0000-0200-000000000000}"/>
    <hyperlink ref="A2" r:id="rId2" xr:uid="{00000000-0004-0000-0200-000001000000}"/>
    <hyperlink ref="B36" r:id="rId3" xr:uid="{00000000-0004-0000-0200-000002000000}"/>
  </hyperlinks>
  <pageMargins left="0.5" right="0.5" top="0.25" bottom="0.25" header="0.5" footer="0.5"/>
  <pageSetup orientation="portrait"/>
  <headerFooter alignWithMargins="0"/>
  <drawing r:id="rId4"/>
  <legacy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9"/>
  <sheetViews>
    <sheetView showGridLines="0" workbookViewId="0"/>
  </sheetViews>
  <sheetFormatPr defaultColWidth="8.85546875" defaultRowHeight="12.75"/>
  <cols>
    <col min="1" max="1" width="5.42578125" style="1" customWidth="1"/>
    <col min="2" max="2" width="82.140625" style="1" customWidth="1"/>
  </cols>
  <sheetData>
    <row r="1" spans="1:3" ht="30" customHeight="1">
      <c r="A1" s="2" t="s">
        <v>113</v>
      </c>
      <c r="B1" s="2"/>
    </row>
    <row r="2" spans="1:3" ht="15">
      <c r="B2" s="3"/>
    </row>
    <row r="3" spans="1:3" ht="15">
      <c r="A3" s="4"/>
      <c r="B3" s="5" t="s">
        <v>114</v>
      </c>
      <c r="C3" s="6"/>
    </row>
    <row r="4" spans="1:3" ht="14.25">
      <c r="A4" s="7"/>
      <c r="B4" s="8" t="s">
        <v>36</v>
      </c>
      <c r="C4" s="9"/>
    </row>
    <row r="5" spans="1:3" ht="15">
      <c r="A5" s="7"/>
      <c r="B5" s="10"/>
      <c r="C5" s="9"/>
    </row>
    <row r="6" spans="1:3" ht="15.75">
      <c r="A6" s="7"/>
      <c r="B6" s="11" t="s">
        <v>112</v>
      </c>
      <c r="C6" s="9"/>
    </row>
    <row r="7" spans="1:3" ht="15">
      <c r="A7" s="7"/>
      <c r="B7" s="10"/>
      <c r="C7" s="9"/>
    </row>
    <row r="8" spans="1:3" ht="30">
      <c r="A8" s="7"/>
      <c r="B8" s="10" t="s">
        <v>115</v>
      </c>
      <c r="C8" s="9"/>
    </row>
    <row r="9" spans="1:3" ht="15">
      <c r="A9" s="7"/>
      <c r="B9" s="10"/>
      <c r="C9" s="9"/>
    </row>
    <row r="10" spans="1:3" ht="46.5">
      <c r="A10" s="7"/>
      <c r="B10" s="10" t="s">
        <v>116</v>
      </c>
      <c r="C10" s="9"/>
    </row>
    <row r="11" spans="1:3" ht="15">
      <c r="A11" s="7"/>
      <c r="B11" s="10"/>
      <c r="C11" s="9"/>
    </row>
    <row r="12" spans="1:3" ht="45">
      <c r="A12" s="7"/>
      <c r="B12" s="10" t="s">
        <v>117</v>
      </c>
      <c r="C12" s="9"/>
    </row>
    <row r="13" spans="1:3" ht="15">
      <c r="A13" s="7"/>
      <c r="B13" s="10"/>
      <c r="C13" s="9"/>
    </row>
    <row r="14" spans="1:3" ht="60">
      <c r="A14" s="7"/>
      <c r="B14" s="10" t="s">
        <v>118</v>
      </c>
      <c r="C14" s="9"/>
    </row>
    <row r="15" spans="1:3" ht="15">
      <c r="A15" s="7"/>
      <c r="B15" s="10"/>
      <c r="C15" s="9"/>
    </row>
    <row r="16" spans="1:3" ht="30.75">
      <c r="A16" s="7"/>
      <c r="B16" s="10" t="s">
        <v>119</v>
      </c>
      <c r="C16" s="9"/>
    </row>
    <row r="17" spans="1:3" ht="15">
      <c r="A17" s="7"/>
      <c r="B17" s="10"/>
      <c r="C17" s="9"/>
    </row>
    <row r="18" spans="1:3" ht="15.75">
      <c r="A18" s="7"/>
      <c r="B18" s="11" t="s">
        <v>120</v>
      </c>
      <c r="C18" s="9"/>
    </row>
    <row r="19" spans="1:3" ht="15">
      <c r="A19" s="7"/>
      <c r="B19" s="12" t="s">
        <v>121</v>
      </c>
      <c r="C19" s="9"/>
    </row>
    <row r="20" spans="1:3" ht="15">
      <c r="A20" s="7"/>
      <c r="B20" s="13"/>
      <c r="C20" s="9"/>
    </row>
    <row r="21" spans="1:3">
      <c r="A21" s="7"/>
      <c r="B21" s="7"/>
      <c r="C21" s="9"/>
    </row>
    <row r="22" spans="1:3">
      <c r="A22" s="7"/>
      <c r="B22" s="7"/>
      <c r="C22" s="9"/>
    </row>
    <row r="23" spans="1:3">
      <c r="A23" s="7"/>
      <c r="B23" s="7"/>
      <c r="C23" s="9"/>
    </row>
    <row r="24" spans="1:3">
      <c r="A24" s="7"/>
      <c r="B24" s="7"/>
      <c r="C24" s="9"/>
    </row>
    <row r="25" spans="1:3">
      <c r="A25" s="7"/>
      <c r="B25" s="7"/>
      <c r="C25" s="9"/>
    </row>
    <row r="26" spans="1:3">
      <c r="A26" s="7"/>
      <c r="B26" s="7"/>
      <c r="C26" s="9"/>
    </row>
    <row r="27" spans="1:3">
      <c r="A27" s="7"/>
      <c r="B27" s="7"/>
      <c r="C27" s="9"/>
    </row>
    <row r="28" spans="1:3">
      <c r="A28" s="7"/>
      <c r="B28" s="7"/>
      <c r="C28" s="9"/>
    </row>
    <row r="29" spans="1:3">
      <c r="A29" s="7"/>
      <c r="B29" s="7"/>
      <c r="C29" s="9"/>
    </row>
  </sheetData>
  <hyperlinks>
    <hyperlink ref="B4" r:id="rId1" xr:uid="{00000000-0004-0000-0300-000000000000}"/>
    <hyperlink ref="B19" r:id="rId2" xr:uid="{00000000-0004-0000-0300-000001000000}"/>
  </hyperlinks>
  <pageMargins left="0.7" right="0.7" top="0.75" bottom="0.75" header="0.3" footer="0.3"/>
  <pageSetup orientation="portrait"/>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GanttChart</vt:lpstr>
      <vt:lpstr>Help</vt:lpstr>
      <vt:lpstr>TermsOfUse</vt:lpstr>
      <vt:lpstr>GanttChart!prevWBS</vt:lpstr>
      <vt:lpstr>GanttChart!Print_Area</vt:lpstr>
      <vt:lpstr>GanttChart!Print_Titles</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2006-2025 Vertex42 LLC. All Rights Reserved.</dc:description>
  <cp:lastModifiedBy>lihao.zhou2241</cp:lastModifiedBy>
  <cp:lastPrinted>2025-09-10T13:39:00Z</cp:lastPrinted>
  <dcterms:created xsi:type="dcterms:W3CDTF">2010-06-09T16:05:00Z</dcterms:created>
  <dcterms:modified xsi:type="dcterms:W3CDTF">2025-10-05T15:06:52Z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y fmtid="{D5CDD505-2E9C-101B-9397-08002B2CF9AE}" pid="5" name="ICV">
    <vt:lpwstr>9FE766AEE04848FFBA2A863AC6C6852A_12</vt:lpwstr>
  </property>
  <property fmtid="{D5CDD505-2E9C-101B-9397-08002B2CF9AE}" pid="6" name="KSOProductBuildVer">
    <vt:lpwstr>2052-12.1.0.21915</vt:lpwstr>
  </property>
</Properties>
</file>